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1" name="_xlnm._FilterDatabase">Sheet2!$A$1:$Z$1000</definedName>
  </definedNames>
  <calcPr/>
</workbook>
</file>

<file path=xl/sharedStrings.xml><?xml version="1.0" encoding="utf-8"?>
<sst xmlns="http://schemas.openxmlformats.org/spreadsheetml/2006/main" count="1001" uniqueCount="910">
  <si>
    <t>Company</t>
  </si>
  <si>
    <t>Name</t>
  </si>
  <si>
    <t>Linkedin</t>
  </si>
  <si>
    <t>Email Id</t>
  </si>
  <si>
    <t>Desigination</t>
  </si>
  <si>
    <t>Phn Number</t>
  </si>
  <si>
    <t>LinkedIn</t>
  </si>
  <si>
    <t>Microsoft India Development Center</t>
  </si>
  <si>
    <t>Google India Engineering &amp; Product Hub</t>
  </si>
  <si>
    <t>Amazon Development Center India</t>
  </si>
  <si>
    <t>Apple India Support &amp; Engineering Centre</t>
  </si>
  <si>
    <t>Qualcomm India</t>
  </si>
  <si>
    <t>Avinash Samrit</t>
  </si>
  <si>
    <t>Micron Technology</t>
  </si>
  <si>
    <t>Salesforce Hyderabad</t>
  </si>
  <si>
    <t>IBM India</t>
  </si>
  <si>
    <t xml:space="preserve">Astera Labs </t>
  </si>
  <si>
    <t>Silicon Labs</t>
  </si>
  <si>
    <t>samrit.avinash@cleanharbors.com</t>
  </si>
  <si>
    <t>JPMorgan Chase Global Service Center</t>
  </si>
  <si>
    <t>Country Manager</t>
  </si>
  <si>
    <t>Goldman Sachs</t>
  </si>
  <si>
    <t>Clean Harbors</t>
  </si>
  <si>
    <t xml:space="preserve"> Wells Fargo India Centre</t>
  </si>
  <si>
    <t>HSBC Global Service Centre</t>
  </si>
  <si>
    <t>Deutsche Bank</t>
  </si>
  <si>
    <t>https://www.linkedin.com/in/avinashsamrit/</t>
  </si>
  <si>
    <t xml:space="preserve">CIBC </t>
  </si>
  <si>
    <t xml:space="preserve">Citizens Financial Group </t>
  </si>
  <si>
    <t xml:space="preserve">Vanguard </t>
  </si>
  <si>
    <t>LPL Financial</t>
  </si>
  <si>
    <t xml:space="preserve"> Voya Financial</t>
  </si>
  <si>
    <t>Swiss Re Global Business Solutions</t>
  </si>
  <si>
    <t>AXA XL</t>
  </si>
  <si>
    <t>Novartis Global Service Centre</t>
  </si>
  <si>
    <t>Sanofi Global Capability Centre / Global Hub</t>
  </si>
  <si>
    <t>Amgen</t>
  </si>
  <si>
    <t>Eli Lilly</t>
  </si>
  <si>
    <t>Bristol-Myers Squibb</t>
  </si>
  <si>
    <t>Johnson &amp; Johnson</t>
  </si>
  <si>
    <t>HCA Healthcare</t>
  </si>
  <si>
    <t>Roche Diagnostics</t>
  </si>
  <si>
    <t>Regeneron</t>
  </si>
  <si>
    <t>Providence Healthcare</t>
  </si>
  <si>
    <t>Cohere Health</t>
  </si>
  <si>
    <t>Deloitte US-India Delivery Center</t>
  </si>
  <si>
    <t>Accenture Advanced Technology Center</t>
  </si>
  <si>
    <t xml:space="preserve">PwC </t>
  </si>
  <si>
    <t>McDonald's</t>
  </si>
  <si>
    <t>The Heineken Company</t>
  </si>
  <si>
    <t xml:space="preserve">L'Oréal </t>
  </si>
  <si>
    <t>Nestlé</t>
  </si>
  <si>
    <t>Costco</t>
  </si>
  <si>
    <t>Reckitt</t>
  </si>
  <si>
    <t xml:space="preserve">Unilever </t>
  </si>
  <si>
    <t xml:space="preserve">JLL </t>
  </si>
  <si>
    <t xml:space="preserve">Southwest Airlines </t>
  </si>
  <si>
    <t>T-Mobile / TMUS Global Solutions</t>
  </si>
  <si>
    <t>American Airlines</t>
  </si>
  <si>
    <t>Warner Bros. Discovery</t>
  </si>
  <si>
    <t xml:space="preserve"> Western Union</t>
  </si>
  <si>
    <t>ABB</t>
  </si>
  <si>
    <t>BASF</t>
  </si>
  <si>
    <t>Zurich Insurance</t>
  </si>
  <si>
    <t>Uber</t>
  </si>
  <si>
    <t xml:space="preserve">Sanjeev Sehgal </t>
  </si>
  <si>
    <t>Maximus</t>
  </si>
  <si>
    <t>sanjeev.sahgal@assurant.com</t>
  </si>
  <si>
    <t xml:space="preserve">Jaguar Land Rover Technology </t>
  </si>
  <si>
    <t xml:space="preserve">Group people officer </t>
  </si>
  <si>
    <t>Assurant</t>
  </si>
  <si>
    <t>Carelon Global Solutions</t>
  </si>
  <si>
    <t>https://www.linkedin.com/in/sanjeevsahgal/</t>
  </si>
  <si>
    <t>Sandeep Kumar Jain</t>
  </si>
  <si>
    <t>MD India</t>
  </si>
  <si>
    <t>CDK Global</t>
  </si>
  <si>
    <t>https://www.linkedin.com/search/results/people/?keywords=Sandeep%20Kumar%20Jain</t>
  </si>
  <si>
    <t>Selina David</t>
  </si>
  <si>
    <t>selina.david@hitachidigital.com</t>
  </si>
  <si>
    <t xml:space="preserve">Director </t>
  </si>
  <si>
    <t>Hitachi Digital</t>
  </si>
  <si>
    <t>https://www.linkedin.com/in/selinadavid/?originalSubdomain=in</t>
  </si>
  <si>
    <t>Kapil Takkalapally</t>
  </si>
  <si>
    <t>kapiltakkalapally@gmail.com</t>
  </si>
  <si>
    <t>Senior Director Human Resources</t>
  </si>
  <si>
    <t>Providence</t>
  </si>
  <si>
    <t>https://www.linkedin.com/in/tkapil/?originalSubdomain=in</t>
  </si>
  <si>
    <t>Jayesh Ranjan IAS</t>
  </si>
  <si>
    <t>Special Chief Secretary, Telangana Govt</t>
  </si>
  <si>
    <t>Government of Telangana</t>
  </si>
  <si>
    <t>https://www.linkedin.com/search/results/people/?keywords=Jayesh%20Ranjan%20IAS</t>
  </si>
  <si>
    <t>Navaneet Mishra</t>
  </si>
  <si>
    <t>navaneet.mishra@hexagon.com</t>
  </si>
  <si>
    <t>SVP &amp; Head</t>
  </si>
  <si>
    <t>Hexagon R&amp;D India</t>
  </si>
  <si>
    <t>https://www.linkedin.com/search/results/people/?keywords=Navaneet%20Mishra</t>
  </si>
  <si>
    <t>Anil Chalasani</t>
  </si>
  <si>
    <t>achalasani@gainsight.com</t>
  </si>
  <si>
    <t>MD</t>
  </si>
  <si>
    <t>GainSight</t>
  </si>
  <si>
    <t>https://www.linkedin.com/search/results/people/?keywords=Anil%20Chalasani</t>
  </si>
  <si>
    <t>Deepak Visweswaraiah</t>
  </si>
  <si>
    <t>SVP &amp; MD India</t>
  </si>
  <si>
    <t>Pegasystems</t>
  </si>
  <si>
    <t>https://www.linkedin.com/in/deepakvis/</t>
  </si>
  <si>
    <t>Mrinal Duggal</t>
  </si>
  <si>
    <t>mrinal.duggal@sanofi-aventis.com, mrinalduggal@gmail.com</t>
  </si>
  <si>
    <t>Head of Sanofi Hyderabad Hub</t>
  </si>
  <si>
    <t>Sanofi</t>
  </si>
  <si>
    <t>https://www.linkedin.com/in/mrinalduggal/</t>
  </si>
  <si>
    <t>Yadhu Kishore Nandikolla</t>
  </si>
  <si>
    <t>yadhukishoren@gmail.com</t>
  </si>
  <si>
    <t>HR Senior Director</t>
  </si>
  <si>
    <t>Evernorth Health Services</t>
  </si>
  <si>
    <t>https://www.linkedin.com/in/yadhukishorenandikolla/</t>
  </si>
  <si>
    <t>Rahul Rajupalepu</t>
  </si>
  <si>
    <t>rahulrajupalepu@gmail.com</t>
  </si>
  <si>
    <t>VP &amp; Head of India Digital Hub</t>
  </si>
  <si>
    <t>Stellantis ICT India</t>
  </si>
  <si>
    <t>https://www.linkedin.com/in/rahulrajupalepu/</t>
  </si>
  <si>
    <t>Arvind Chittora</t>
  </si>
  <si>
    <t>Head</t>
  </si>
  <si>
    <t>Sonoco Performance Hub</t>
  </si>
  <si>
    <t>not in india</t>
  </si>
  <si>
    <t>https://www.linkedin.com/in/arvind-chittora-6398661/</t>
  </si>
  <si>
    <t>Gaurav Mathur</t>
  </si>
  <si>
    <t>CEO</t>
  </si>
  <si>
    <t>Credera India</t>
  </si>
  <si>
    <t>https://www.linkedin.com/search/results/people/?keywords=Gaurav%20Mathur</t>
  </si>
  <si>
    <t>Ganpat Anchaliya</t>
  </si>
  <si>
    <t>ganpat.anchaliya@novartis.com, ganpat75@gmail.com</t>
  </si>
  <si>
    <t>Site Head</t>
  </si>
  <si>
    <t>Novartis</t>
  </si>
  <si>
    <t>https://www.linkedin.com/search/results/people/?keywords=Ganpat%20Anchaliya</t>
  </si>
  <si>
    <t>Smitha Hemmigae</t>
  </si>
  <si>
    <t>ANSR</t>
  </si>
  <si>
    <t>https://www.linkedin.com/search/results/people/?keywords=Smitha%20Hemmigae</t>
  </si>
  <si>
    <t>Jaideep Agarwal</t>
  </si>
  <si>
    <t>jaideep.agarwal@wbd.com</t>
  </si>
  <si>
    <t>India GBS Leader</t>
  </si>
  <si>
    <t>91 99596 88300</t>
  </si>
  <si>
    <t>https://www.linkedin.com/search/results/people/?keywords=Jaideep%20Agarwal</t>
  </si>
  <si>
    <t>Ashok Chawla</t>
  </si>
  <si>
    <t>Co-Chief Delivery</t>
  </si>
  <si>
    <t>R Systems</t>
  </si>
  <si>
    <t>https://www.linkedin.com/search/results/people/?keywords=Ashok%20Chawla</t>
  </si>
  <si>
    <t>Sunil Ghiya</t>
  </si>
  <si>
    <t>VP Finance</t>
  </si>
  <si>
    <t>Mode N</t>
  </si>
  <si>
    <t>https://www.linkedin.com/search/results/people/?keywords=Sunil%20Ghiya</t>
  </si>
  <si>
    <t>Mahesh Patil</t>
  </si>
  <si>
    <t>Head of GCC Business Unit</t>
  </si>
  <si>
    <t>EPAM</t>
  </si>
  <si>
    <t>https://www.linkedin.com/search/results/people/?keywords=Mahesh%20Patil</t>
  </si>
  <si>
    <t>Nageswara Rao</t>
  </si>
  <si>
    <t>Engineering Director</t>
  </si>
  <si>
    <t>Swiss Re</t>
  </si>
  <si>
    <t>https://www.linkedin.com/search/results/people/?keywords=Nageswara%20Rao</t>
  </si>
  <si>
    <t>Nataraj Kalyanaraman</t>
  </si>
  <si>
    <t>VP &amp; Head of Drug Development</t>
  </si>
  <si>
    <t>Bristol Myers Squibb</t>
  </si>
  <si>
    <t>https://www.linkedin.com/search/results/people/?keywords=Nataraj%20Kalyanaraman</t>
  </si>
  <si>
    <t>Jayesh Sanghvi</t>
  </si>
  <si>
    <t>Partner</t>
  </si>
  <si>
    <t>EY Hyderabad</t>
  </si>
  <si>
    <t>https://www.linkedin.com/search/results/people/?keywords=Jayesh%20Sanghvi</t>
  </si>
  <si>
    <t>Shalinder Bakshi</t>
  </si>
  <si>
    <t>Partner, People Consulting</t>
  </si>
  <si>
    <t>EY India</t>
  </si>
  <si>
    <t>https://www.linkedin.com/search/results/people/?keywords=Shalinder%20Bakshi</t>
  </si>
  <si>
    <t>Rajesh Bharatiya</t>
  </si>
  <si>
    <t>Peoplefy</t>
  </si>
  <si>
    <t>https://www.linkedin.com/search/results/people/?keywords=Rajesh%20Bharatiya</t>
  </si>
  <si>
    <t>Nilesh Kulkarni</t>
  </si>
  <si>
    <t>Executive Advisor</t>
  </si>
  <si>
    <t>ThoughtWorks</t>
  </si>
  <si>
    <t>https://www.linkedin.com/search/results/people/?keywords=Nilesh%20Kulkarni</t>
  </si>
  <si>
    <t>Amardeep Singh</t>
  </si>
  <si>
    <t>SVP &amp; BU Head</t>
  </si>
  <si>
    <t>Encora India</t>
  </si>
  <si>
    <t>https://www.linkedin.com/search/results/people/?keywords=Amardeep%20Singh</t>
  </si>
  <si>
    <t>Sriharsha Gummadi</t>
  </si>
  <si>
    <t>Apple Practice Head</t>
  </si>
  <si>
    <t>Ample</t>
  </si>
  <si>
    <t>https://www.linkedin.com/search/results/people/?keywords=Sriharsha%20Gummadi</t>
  </si>
  <si>
    <t>Mamatha Madireddy</t>
  </si>
  <si>
    <t>mamatha.madireddy@hsbc.co.in</t>
  </si>
  <si>
    <t>GCC Council Chair, MD &amp; Head</t>
  </si>
  <si>
    <t>HSBC Global Service Centres (GSCs), India</t>
  </si>
  <si>
    <t>https://www.linkedin.com/search/results/people/?keywords=Mamatha%20Madireddy</t>
  </si>
  <si>
    <t>David A. Smith</t>
  </si>
  <si>
    <t>Futurist &amp; CEO</t>
  </si>
  <si>
    <t>Global Futures and Foresight</t>
  </si>
  <si>
    <t>https://www.linkedin.com/search/results/people/?keywords=David%20A.%20Smith</t>
  </si>
  <si>
    <t>Vijayaraman J. Subramanian</t>
  </si>
  <si>
    <t>vijayaraman.j.subramanian@verizon.com, vijayaramans@yahoo.com</t>
  </si>
  <si>
    <t>Vice President &amp; MD</t>
  </si>
  <si>
    <t>Verizon India</t>
  </si>
  <si>
    <t>https://www.linkedin.com/search/results/people/?keywords=Vijayaraman%20J.%20Subramanian</t>
  </si>
  <si>
    <t>Akshay Sahni</t>
  </si>
  <si>
    <t>Country Head</t>
  </si>
  <si>
    <t>Chevron India</t>
  </si>
  <si>
    <t>https://www.linkedin.com/search/results/people/?keywords=Akshay%20Sahni%20Chevron</t>
  </si>
  <si>
    <t>Naveen Gullapalli</t>
  </si>
  <si>
    <t>naveengullapalli@gmail.com</t>
  </si>
  <si>
    <t>Managing Director</t>
  </si>
  <si>
    <t>Amgen India</t>
  </si>
  <si>
    <t>https://www.linkedin.com/search/results/people/?keywords=Naveen%20Gullapalli</t>
  </si>
  <si>
    <t>Rohitashwa Aggarwal</t>
  </si>
  <si>
    <t>Everest Group</t>
  </si>
  <si>
    <t>https://www.linkedin.com/search/results/people/?keywords=Rohitashwa%20Aggarwal</t>
  </si>
  <si>
    <t>Rajesh Nambiar</t>
  </si>
  <si>
    <t>President</t>
  </si>
  <si>
    <t>Nasscom</t>
  </si>
  <si>
    <t>https://www.linkedin.com/search/results/people/?keywords=Rajesh%20Nambiar</t>
  </si>
  <si>
    <t>John Higginson</t>
  </si>
  <si>
    <t>Chief Technology Officer</t>
  </si>
  <si>
    <t>Curriculum Associates</t>
  </si>
  <si>
    <t>https://www.linkedin.com/search/results/people/?keywords=John%20Higginson</t>
  </si>
  <si>
    <t>Srikanth Velamakanni</t>
  </si>
  <si>
    <t>Co-Founder &amp; Group Chief Executive</t>
  </si>
  <si>
    <t>Fractal Analytics</t>
  </si>
  <si>
    <t>https://www.linkedin.com/search/results/people/?keywords=Srikanth%20Velamakanni</t>
  </si>
  <si>
    <t>Krishna G</t>
  </si>
  <si>
    <t>Country Head – India, Solution Architecture</t>
  </si>
  <si>
    <t>OutSystems</t>
  </si>
  <si>
    <t>https://www.linkedin.com/search/results/people/?keywords=Krishna%20G%20OutSystems</t>
  </si>
  <si>
    <t>Anahita Tiwari</t>
  </si>
  <si>
    <t>Morgan Stanley (Head India Global Centers)</t>
  </si>
  <si>
    <t>https://www.linkedin.com/search/results/people/?keywords=Anahita%20Tiwari%20Morgan%20Stanley</t>
  </si>
  <si>
    <t>Jay Doshi</t>
  </si>
  <si>
    <t>MD, Corporate Units, Digital &amp; India</t>
  </si>
  <si>
    <t>BT Group</t>
  </si>
  <si>
    <t>https://www.linkedin.com/search/results/people/?keywords=Jay%20Doshi%20BT%20Group</t>
  </si>
  <si>
    <t>Sachin Kulkarni</t>
  </si>
  <si>
    <t>President, Global Services</t>
  </si>
  <si>
    <t>Fiserv</t>
  </si>
  <si>
    <t>https://www.linkedin.com/search/results/people/?keywords=Sachin%20Kulkarni%20Fiserv</t>
  </si>
  <si>
    <t>Pari Natarajan</t>
  </si>
  <si>
    <t>CEO &amp; Co-Founder</t>
  </si>
  <si>
    <t>Zinnov</t>
  </si>
  <si>
    <t>https://www.linkedin.com/search/results/people/?keywords=Pari%20Natarajan%20Zinnov</t>
  </si>
  <si>
    <t>Sreedevi Hegde</t>
  </si>
  <si>
    <t>Managing Director &amp; India GCC Head</t>
  </si>
  <si>
    <t>Vervent Technologies Pvt. Ltd</t>
  </si>
  <si>
    <t>https://www.linkedin.com/search/results/people/?keywords=Sreedevi%20Hegde%20Vervent</t>
  </si>
  <si>
    <t>Niladri Ray</t>
  </si>
  <si>
    <t>Country Head, India &amp; VP Engineering</t>
  </si>
  <si>
    <t>Flexera</t>
  </si>
  <si>
    <t>https://www.linkedin.com/search/results/people/?keywords=Niladri%20Ray%20Flexera</t>
  </si>
  <si>
    <t>Vijay Simha</t>
  </si>
  <si>
    <t>VP Engineering &amp; Head of India Operations</t>
  </si>
  <si>
    <t>Castlight Health</t>
  </si>
  <si>
    <t>https://www.linkedin.com/search/results/people/?keywords=Vijay%20Simha%20Castlight</t>
  </si>
  <si>
    <t>Lalitha Indrakanti</t>
  </si>
  <si>
    <t>Jaguar Land Rover Technology &amp; Business Services India</t>
  </si>
  <si>
    <t>https://www.linkedin.com/search/results/people/?keywords=Lalitha%20Indrakanti</t>
  </si>
  <si>
    <t>Ashish Dugar</t>
  </si>
  <si>
    <t>MAN Truck &amp; Bus India</t>
  </si>
  <si>
    <t>https://www.linkedin.com/search/results/people/?keywords=Ashish%20Dugar</t>
  </si>
  <si>
    <t>Manikandan Thangarathnam</t>
  </si>
  <si>
    <t>Senior Director, Engineering</t>
  </si>
  <si>
    <t>https://www.linkedin.com/search/results/people/?keywords=Manikandan%20Thangarathnam%20Uber</t>
  </si>
  <si>
    <t>Dr Sai Praveen Haranath</t>
  </si>
  <si>
    <t>Senior Pulmonologist &amp; Keynote Speaker</t>
  </si>
  <si>
    <t>Apollo Hospitals &amp; Apollo HealthAxis</t>
  </si>
  <si>
    <t>https://www.linkedin.com/search/results/people/?keywords=Dr%20Sai%20Praveen%20Haranath</t>
  </si>
  <si>
    <t>Praveen Maddali</t>
  </si>
  <si>
    <t>Head of Content Systems Dev</t>
  </si>
  <si>
    <t>S&amp;P Global</t>
  </si>
  <si>
    <t>https://www.linkedin.com/search/results/people/?keywords=Praveen%20Maddali%20S%26P%20Global</t>
  </si>
  <si>
    <t>Paranth Thiruvengadam</t>
  </si>
  <si>
    <t>Head of Engineering &amp; India Site Leader</t>
  </si>
  <si>
    <t>Atlassian</t>
  </si>
  <si>
    <t>https://www.linkedin.com/search/results/people/?keywords=Paranth%20Thiruvengadam%20Atlassian</t>
  </si>
  <si>
    <t>Raja Jamalamadaka</t>
  </si>
  <si>
    <t>Country Head &amp; Board Director</t>
  </si>
  <si>
    <t>Roche Digital Center of Excellence</t>
  </si>
  <si>
    <t>https://www.linkedin.com/search/results/people/?keywords=Raja%20Jamalamadaka%20Roche</t>
  </si>
  <si>
    <t>Sirisha Voruganti</t>
  </si>
  <si>
    <t>CEO &amp; MD</t>
  </si>
  <si>
    <t>Lloyds Technology Centre</t>
  </si>
  <si>
    <t>https://www.linkedin.com/search/results/people/?keywords=Sirisha%20Voruganti</t>
  </si>
  <si>
    <t>Debasis Panda</t>
  </si>
  <si>
    <t>SVP &amp; Head, GCC Network</t>
  </si>
  <si>
    <t>TransUnion Global Capability Centers</t>
  </si>
  <si>
    <t>https://www.linkedin.com/search/results/people/?keywords=Debasis%20Panda%20TransUnion</t>
  </si>
  <si>
    <t>Swethnisha Panicker</t>
  </si>
  <si>
    <t>CIO – Enabling Functions</t>
  </si>
  <si>
    <t>Merck Group</t>
  </si>
  <si>
    <t>https://www.linkedin.com/search/results/people/?keywords=Swethnisha%20Panicker%20Merck</t>
  </si>
  <si>
    <t>Justin Edwards</t>
  </si>
  <si>
    <t>VP, Technology</t>
  </si>
  <si>
    <t>XPO India Shared Services</t>
  </si>
  <si>
    <t>https://www.linkedin.com/search/results/people/?keywords=Justin%20Edwards%20XPO</t>
  </si>
  <si>
    <t>Vicky Hans</t>
  </si>
  <si>
    <t>https://www.linkedin.com/in/vicky-hans-2831314/</t>
  </si>
  <si>
    <t>Jaspreet Bindra</t>
  </si>
  <si>
    <t>Founder</t>
  </si>
  <si>
    <t>AI&amp;Beyond &amp; Tech Whisperer Ltd</t>
  </si>
  <si>
    <t>https://www.linkedin.com/search/results/people/?keywords=Jaspreet%20Bindra</t>
  </si>
  <si>
    <t>Brinda Batavia</t>
  </si>
  <si>
    <t>India Talent Leader</t>
  </si>
  <si>
    <t>RSM</t>
  </si>
  <si>
    <t>https://www.linkedin.com/search/results/people/?keywords=Brinda%20Batavia</t>
  </si>
  <si>
    <t>Gunjandeep Kaur</t>
  </si>
  <si>
    <t>Director – HR</t>
  </si>
  <si>
    <t>Model N</t>
  </si>
  <si>
    <t>https://www.linkedin.com/search/results/people/?keywords=Gunjandeep%20Kaur</t>
  </si>
  <si>
    <t>Neha Tamacha</t>
  </si>
  <si>
    <t>https://www.linkedin.com/in/neha-tarnacha-tewari-aab9718/</t>
  </si>
  <si>
    <t>Ajay Gupta</t>
  </si>
  <si>
    <t>Skills Cafe</t>
  </si>
  <si>
    <t>https://www.linkedin.com/search/results/people/?keywords=Ajay%20Gupta%20Skills%20Cafe</t>
  </si>
  <si>
    <t>Santosh D'Souza</t>
  </si>
  <si>
    <t>Director</t>
  </si>
  <si>
    <t>LinkedIn India</t>
  </si>
  <si>
    <t>https://www.linkedin.com/search/results/people/?keywords=Santosh%20D'Souza%20LinkedIn</t>
  </si>
  <si>
    <t>Nousheen Khan</t>
  </si>
  <si>
    <t>Global Director – Talent Management</t>
  </si>
  <si>
    <t>Hexagon Manufacturing Intelligence</t>
  </si>
  <si>
    <t>https://www.linkedin.com/search/results/people/?keywords=Nousheen%20Khan</t>
  </si>
  <si>
    <t>Samatha Prasad</t>
  </si>
  <si>
    <t>Vice President – HR India</t>
  </si>
  <si>
    <t>Broadridge Financial Solutions</t>
  </si>
  <si>
    <t>https://www.linkedin.com/search/results/people/?keywords=Samatha%20Prasad%20Broadridge</t>
  </si>
  <si>
    <t>Tanmaya Jain</t>
  </si>
  <si>
    <t>inFeedo</t>
  </si>
  <si>
    <t>https://www.linkedin.com/search/results/people/?keywords=Tanmaya%20Jain</t>
  </si>
  <si>
    <t>Kameshwari Rao</t>
  </si>
  <si>
    <t>Global Chief People Officer</t>
  </si>
  <si>
    <t>Publicis Sapient</t>
  </si>
  <si>
    <t>https://www.linkedin.com/search/results/people/?keywords=Kameshwari%20Rao</t>
  </si>
  <si>
    <t>Anuradha Kumar</t>
  </si>
  <si>
    <t>Head HR, Global Innovation &amp; Tech Centre</t>
  </si>
  <si>
    <t>AstraZeneca India</t>
  </si>
  <si>
    <t>https://www.linkedin.com/search/results/people/?keywords=Anuradha%20Kumar%20AstraZeneca</t>
  </si>
  <si>
    <t>Prabhul R</t>
  </si>
  <si>
    <t>Director – ELL-India</t>
  </si>
  <si>
    <t>Pearson</t>
  </si>
  <si>
    <t>https://www.linkedin.com/search/results/people/?keywords=Prabhul%20R%20Pearson</t>
  </si>
  <si>
    <t>Siva Prakash</t>
  </si>
  <si>
    <t>GoodYear Global Technology Center India</t>
  </si>
  <si>
    <t>https://www.linkedin.com/search/results/people/?keywords=Siva%20Prakash%20GoodYear</t>
  </si>
  <si>
    <t>KT Nambi</t>
  </si>
  <si>
    <t>Vice President &amp; Head of Operations, India</t>
  </si>
  <si>
    <t>Capgemini</t>
  </si>
  <si>
    <t>https://www.linkedin.com/search/results/people/?keywords=KT%20Nambi%20Capgemini</t>
  </si>
  <si>
    <t>Monica S Pirgal</t>
  </si>
  <si>
    <t>Managing Director &amp; Site Head</t>
  </si>
  <si>
    <t>Neiman Marcus Group</t>
  </si>
  <si>
    <t>https://www.linkedin.com/search/results/people/?keywords=Monica%20S%20Pirgal</t>
  </si>
  <si>
    <t>Sanjeev Ravindranathan</t>
  </si>
  <si>
    <t>VP Global Finance Shared Services</t>
  </si>
  <si>
    <t>HARMAN International</t>
  </si>
  <si>
    <t>https://www.linkedin.com/search/results/people/?keywords=Sanjeev%20Ravindranathan</t>
  </si>
  <si>
    <t>Sriram Gopalswamy</t>
  </si>
  <si>
    <t>Vice President, Site Reliability Engineering</t>
  </si>
  <si>
    <t>Sabre</t>
  </si>
  <si>
    <t>https://www.linkedin.com/search/results/people/?keywords=Sriram%20Gopalswamy</t>
  </si>
  <si>
    <t>Gitanjali Singh</t>
  </si>
  <si>
    <t>Head of Strategy</t>
  </si>
  <si>
    <t>Enparadigm</t>
  </si>
  <si>
    <t>https://www.linkedin.com/search/results/people/?keywords=Gitanjali%20Singh</t>
  </si>
  <si>
    <t>Daryl Pinto</t>
  </si>
  <si>
    <t>Director TA</t>
  </si>
  <si>
    <t>Microsoft</t>
  </si>
  <si>
    <t>https://www.linkedin.com/search/results/people/?keywords=Daryl%20Pinto%20Microsoft</t>
  </si>
  <si>
    <t>Pradeep Deshpande</t>
  </si>
  <si>
    <t>Director – Talent Acquisition</t>
  </si>
  <si>
    <t>CGI</t>
  </si>
  <si>
    <t>https://www.linkedin.com/search/results/people/?keywords=Pradeep%20Deshpande%20CGI</t>
  </si>
  <si>
    <t>Piyush Peshwani</t>
  </si>
  <si>
    <t>Co-Founder &amp; CEO</t>
  </si>
  <si>
    <t>OnGrid</t>
  </si>
  <si>
    <t>https://www.linkedin.com/search/results/people/?keywords=Piyush%20Peshwani</t>
  </si>
  <si>
    <t>Ekhlaque Bari</t>
  </si>
  <si>
    <t>AI + Human Evangelist</t>
  </si>
  <si>
    <t>(Independent)</t>
  </si>
  <si>
    <t>https://www.linkedin.com/search/results/people/?keywords=Ekhlaque%20Bari</t>
  </si>
  <si>
    <t>Vidya Munirathnam</t>
  </si>
  <si>
    <t>Vice President – Human Resources</t>
  </si>
  <si>
    <t>Lowe's India</t>
  </si>
  <si>
    <t>https://www.linkedin.com/search/results/people/?keywords=Vidya%20Munirathnam</t>
  </si>
  <si>
    <t>Sundar KV</t>
  </si>
  <si>
    <t>CFO &amp; Vice President of Finance</t>
  </si>
  <si>
    <t>ADP India &amp; SEA</t>
  </si>
  <si>
    <t>https://www.linkedin.com/search/results/people/?keywords=Sundar%20KV%20ADP</t>
  </si>
  <si>
    <t>Anurag Bhatnagar</t>
  </si>
  <si>
    <t>Chief Institutional Business Officer</t>
  </si>
  <si>
    <t>Medibuddy</t>
  </si>
  <si>
    <t>https://www.linkedin.com/search/results/people/?keywords=Anurag%20Bhatnagar</t>
  </si>
  <si>
    <t>Bob Philips</t>
  </si>
  <si>
    <t>https://www.linkedin.com/search/results/people/?keywords=Bob%20Philips</t>
  </si>
  <si>
    <t>Lalit Ahuja</t>
  </si>
  <si>
    <t>Founder &amp; CEO</t>
  </si>
  <si>
    <t>https://www.linkedin.com/search/results/people/?keywords=Lalit%20Ahuja</t>
  </si>
  <si>
    <t>Rajesh Varrier</t>
  </si>
  <si>
    <t>President – Global Operations &amp; MD</t>
  </si>
  <si>
    <t>Cognizant India</t>
  </si>
  <si>
    <r>
      <rPr>
        <rFont val="Arial"/>
        <color rgb="FF1155CC"/>
        <u/>
      </rPr>
      <t>https://www.linkedin.com/search/results/people/?keywords=Rajesh%20Varrier%20Cognizant</t>
    </r>
    <r>
      <rPr>
        <rFont val="Arial"/>
      </rPr>
      <t xml:space="preserve"> </t>
    </r>
  </si>
  <si>
    <t>Deshant Kaila</t>
  </si>
  <si>
    <t>Head GBS Operations</t>
  </si>
  <si>
    <t>McDonald’s</t>
  </si>
  <si>
    <t>https://www.linkedin.com/search/results/people/?keywords=Deshant%20Kaila</t>
  </si>
  <si>
    <t>Durga Prakash (DP)</t>
  </si>
  <si>
    <t>Head Global Technology</t>
  </si>
  <si>
    <r>
      <rPr>
        <rFont val="Arial"/>
        <color rgb="FF1155CC"/>
        <u/>
      </rPr>
      <t>https://www.linkedin.com/search/results/people/?keywords=Durga%20Prakash%20McDonalds</t>
    </r>
    <r>
      <rPr>
        <rFont val="Arial"/>
      </rPr>
      <t xml:space="preserve"> </t>
    </r>
  </si>
  <si>
    <t>Sailaja Josyula</t>
  </si>
  <si>
    <t>SVP, Global Head – GCC Service Line</t>
  </si>
  <si>
    <t>Cognizant</t>
  </si>
  <si>
    <r>
      <rPr>
        <rFont val="Arial"/>
        <color rgb="FF1155CC"/>
        <u/>
      </rPr>
      <t>https://www.linkedin.com/search/results/people/?keywords=Sailaja%20Josyula</t>
    </r>
    <r>
      <rPr>
        <rFont val="Arial"/>
      </rPr>
      <t xml:space="preserve"> </t>
    </r>
  </si>
  <si>
    <t>Rajesh Kumar Ojha</t>
  </si>
  <si>
    <t>Partner &amp; GCC Market Segment Leader</t>
  </si>
  <si>
    <t>PwC</t>
  </si>
  <si>
    <r>
      <rPr>
        <rFont val="Arial"/>
        <color rgb="FF1155CC"/>
        <u/>
      </rPr>
      <t>https://www.linkedin.com/search/results/people/?keywords=Rajesh%20Kumar%20Ojha</t>
    </r>
    <r>
      <rPr>
        <rFont val="Arial"/>
      </rPr>
      <t xml:space="preserve"> </t>
    </r>
  </si>
  <si>
    <t>KaviKrut</t>
  </si>
  <si>
    <t>T-Hub</t>
  </si>
  <si>
    <t>https://www.linkedin.com/search/results/people/?keywords=KaviKrut%20T%2DHub</t>
  </si>
  <si>
    <t>Kishore Kumar</t>
  </si>
  <si>
    <t>CTO &amp; Co-Founder</t>
  </si>
  <si>
    <t>Prohance</t>
  </si>
  <si>
    <r>
      <rPr>
        <rFont val="Arial"/>
        <color rgb="FF1155CC"/>
        <u/>
      </rPr>
      <t>https://www.linkedin.com/search/results/people/?keywords=Kishore%20Kumar%20Prohance</t>
    </r>
    <r>
      <rPr>
        <rFont val="Arial"/>
      </rPr>
      <t xml:space="preserve"> </t>
    </r>
  </si>
  <si>
    <t>Jitendra Putcha</t>
  </si>
  <si>
    <t>Chief Delivery Officer</t>
  </si>
  <si>
    <t>Mastech Digital</t>
  </si>
  <si>
    <r>
      <rPr>
        <rFont val="Arial"/>
        <color rgb="FF1155CC"/>
        <u/>
      </rPr>
      <t>https://www.linkedin.com/search/results/people/?keywords=Jitendra%20Putcha</t>
    </r>
    <r>
      <rPr>
        <rFont val="Arial"/>
      </rPr>
      <t xml:space="preserve"> </t>
    </r>
  </si>
  <si>
    <t>Ajay Trehan</t>
  </si>
  <si>
    <t>AuthBridge</t>
  </si>
  <si>
    <t>https://www.linkedin.com/search/results/people/?keywords=Ajay%20Trehan</t>
  </si>
  <si>
    <t>Amit Kalra</t>
  </si>
  <si>
    <t>MD &amp; Head Global Business Solutions</t>
  </si>
  <si>
    <t>https://www.linkedin.com/search/results/people/?keywords=Amit%20Kalra%20SwissRe</t>
  </si>
  <si>
    <t>Pragya Singh</t>
  </si>
  <si>
    <t>https://www.linkedin.com/search/results/people/?keywords=Pragya%20Singh%20McDonalds</t>
  </si>
  <si>
    <t>Sharma Sonti</t>
  </si>
  <si>
    <t>Global Resource Optimization Leader</t>
  </si>
  <si>
    <t>https://www.linkedin.com/search/results/people/?keywords=Sharma%20Sonti</t>
  </si>
  <si>
    <t>Rajat Kapoor</t>
  </si>
  <si>
    <t>Ascent Health Solutions</t>
  </si>
  <si>
    <t>https://www.linkedin.com/search/results/people/?keywords=Rajat%20Kapoor</t>
  </si>
  <si>
    <t>Prashanti Bodugum</t>
  </si>
  <si>
    <t>Head, Evernorth Health Services India</t>
  </si>
  <si>
    <t>Evernorth</t>
  </si>
  <si>
    <t>https://www.linkedin.com/search/results/people/?keywords=Prashanti%20Bodugum</t>
  </si>
  <si>
    <t>P J Narayanan</t>
  </si>
  <si>
    <t>Professor &amp; Director</t>
  </si>
  <si>
    <t>IIIT-Hyderabad</t>
  </si>
  <si>
    <t>https://www.linkedin.com/search/results/people/?keywords=P%20J%20Narayanan</t>
  </si>
  <si>
    <t>Rajesh Dhuddu</t>
  </si>
  <si>
    <t>Partner &amp; Emerging Tech Leader</t>
  </si>
  <si>
    <t>https://www.linkedin.com/search/results/people/?keywords=Rajesh%20Dhuddu%20PwC</t>
  </si>
  <si>
    <t>Megha Chawla</t>
  </si>
  <si>
    <t>Senior Partner</t>
  </si>
  <si>
    <t>Bain &amp; Company</t>
  </si>
  <si>
    <t>https://www.linkedin.com/search/results/people/?keywords=Megha%20Chawla%20Bain</t>
  </si>
  <si>
    <t>Anant Anand</t>
  </si>
  <si>
    <t>Software Engineering Director</t>
  </si>
  <si>
    <t>https://www.linkedin.com/search/results/people/?keywords=Anant%20Anand%20Evernorth</t>
  </si>
  <si>
    <t>Naren Peri</t>
  </si>
  <si>
    <t>VP, Data &amp; Analytics Capability Lead</t>
  </si>
  <si>
    <t>MetLife</t>
  </si>
  <si>
    <t>https://www.linkedin.com/search/results/people/?keywords=Naren%20Peri%20MetLife</t>
  </si>
  <si>
    <t>Utpal Sen</t>
  </si>
  <si>
    <t>Subject Matter Expert, Partner</t>
  </si>
  <si>
    <t>PricewaterhouseCoopers</t>
  </si>
  <si>
    <t>https://www.linkedin.com/search/results/people/?keywords=Utpal%20Sen%20PwC</t>
  </si>
  <si>
    <t>Namita Seth</t>
  </si>
  <si>
    <t>VP, Strategic Growth</t>
  </si>
  <si>
    <t>https://www.linkedin.com/search/results/people/?keywords=Namita%20Seth%20Cognizant</t>
  </si>
  <si>
    <t>Vishalli Dongrie</t>
  </si>
  <si>
    <t>Partner &amp; Head Workforce Consulting</t>
  </si>
  <si>
    <t>https://www.linkedin.com/search/results/people/?keywords=Vishalli%20Dongrie</t>
  </si>
  <si>
    <t>Nitin Sharma</t>
  </si>
  <si>
    <t>Technology Counsel (Sr. Director)</t>
  </si>
  <si>
    <t>Qualcomm</t>
  </si>
  <si>
    <t>https://www.linkedin.com/search/results/people/?keywords=Nitin%20Sharma%20Qualcomm</t>
  </si>
  <si>
    <t>Ranga Pothula</t>
  </si>
  <si>
    <t>MD India Sub-continent &amp; SVP Global Delivery</t>
  </si>
  <si>
    <t>Infor</t>
  </si>
  <si>
    <t>https://www.linkedin.com/search/results/people/?keywords=Ranga%20Pothula%20Infor</t>
  </si>
  <si>
    <t>Vikram Doshi</t>
  </si>
  <si>
    <t>India Tax &amp; Regulatory Partner, GCC Tax Leader</t>
  </si>
  <si>
    <t>PwC India</t>
  </si>
  <si>
    <t>https://www.linkedin.com/search/results/people/?keywords=Vikram%20Doshi</t>
  </si>
  <si>
    <t>Smriti Mathur</t>
  </si>
  <si>
    <t>Vice President People India &amp; Global Talent Partner</t>
  </si>
  <si>
    <r>
      <rPr>
        <rFont val="Arial"/>
        <color rgb="FF1155CC"/>
        <u/>
      </rPr>
      <t>https://www.linkedin.com/search/results/people/?keywords=Smriti%20Mathur%20Pegasystems</t>
    </r>
    <r>
      <rPr>
        <rFont val="Arial"/>
      </rPr>
      <t xml:space="preserve"> </t>
    </r>
  </si>
  <si>
    <t>Dinesh Murugesan</t>
  </si>
  <si>
    <t>VP GES HR &amp; Head GCC</t>
  </si>
  <si>
    <t>DSM-Firmenich</t>
  </si>
  <si>
    <t>https://www.linkedin.com/search/results/people/?keywords=Dinesh%20Murugesan%20DSM</t>
  </si>
  <si>
    <t>Rekha Narendra</t>
  </si>
  <si>
    <t>Vice President &amp; HR Head India</t>
  </si>
  <si>
    <t>RealPage</t>
  </si>
  <si>
    <t>https://www.linkedin.com/search/results/people/?keywords=Rekha%20Narendra%20RealPage</t>
  </si>
  <si>
    <t>Pallavi Katiyar</t>
  </si>
  <si>
    <t>Chief Information Officer</t>
  </si>
  <si>
    <t>TechMahindra</t>
  </si>
  <si>
    <t>https://www.linkedin.com/search/results/people/?keywords=Pallavi%20Katiyar%20TechMahindra</t>
  </si>
  <si>
    <t>Sreekant Lanka</t>
  </si>
  <si>
    <t>Chief Strategy Officer (CSO) – IT &amp; E&amp;C Ministry</t>
  </si>
  <si>
    <t>https://www.linkedin.com/search/results/people/?keywords=Sreekant%20Lanka</t>
  </si>
  <si>
    <t>Sangeetha Yanamandra</t>
  </si>
  <si>
    <t>sanyanamandra@yahoo.co.in</t>
  </si>
  <si>
    <t>VP – Software Engineering, Site Leader Hyderabad</t>
  </si>
  <si>
    <t>OpenText</t>
  </si>
  <si>
    <t>https://www.linkedin.com/search/results/people/?keywords=Sangeetha%20Yanamandra%20OpenText</t>
  </si>
  <si>
    <t>Ashutosh Khare</t>
  </si>
  <si>
    <t>AI CoE (India) Leader</t>
  </si>
  <si>
    <t>https://www.linkedin.com/search/results/people/?keywords=Ashutosh%20Khare%20Evernorth</t>
  </si>
  <si>
    <t>Haren Chelle</t>
  </si>
  <si>
    <t>Pulsegen</t>
  </si>
  <si>
    <t>https://www.linkedin.com/search/results/people/?keywords=Haren%20Chelle%20Pulsegen</t>
  </si>
  <si>
    <t>Madhuri Duggirala</t>
  </si>
  <si>
    <t>Vice President, Ads Solutions</t>
  </si>
  <si>
    <t>Google</t>
  </si>
  <si>
    <t>https://www.linkedin.com/search/results/people/?keywords=Madhuri%20Duggirala</t>
  </si>
  <si>
    <t>Kiran Pasavedala</t>
  </si>
  <si>
    <t>Wexa AI</t>
  </si>
  <si>
    <t>https://www.linkedin.com/search/results/people/?keywords=Kiran%20Pasavedala%20WexaAI</t>
  </si>
  <si>
    <t>Rakesh Vaddadi</t>
  </si>
  <si>
    <t>Beacon</t>
  </si>
  <si>
    <t>https://www.linkedin.com/search/results/people/?keywords=Rakesh%20Vaddadi%20Beacon</t>
  </si>
  <si>
    <t>Aditya Shiralkar</t>
  </si>
  <si>
    <t>Senior Partner &amp; Head, AI &amp; Data Consulting</t>
  </si>
  <si>
    <t>Tech Mahindra</t>
  </si>
  <si>
    <t xml:space="preserve">Apratim Mitra </t>
  </si>
  <si>
    <t>Group Vice President Head - Digital &amp; Tech India</t>
  </si>
  <si>
    <t>CBRE</t>
  </si>
  <si>
    <t>Dr Vivek Jha</t>
  </si>
  <si>
    <t>vivek.jha@lilly.com</t>
  </si>
  <si>
    <t>Sr. Director - Strategy, AI &amp; Transformation GCC</t>
  </si>
  <si>
    <t>Eli Lily and Company</t>
  </si>
  <si>
    <t>Credera India GCC</t>
  </si>
  <si>
    <t>Vice President, Data and Analytics Capability Lead</t>
  </si>
  <si>
    <t>Vinay (M.S) Simha</t>
  </si>
  <si>
    <t>Director | Principal Enterprise Architect | Enterprise Data Architecture &amp; Data Governance Leader</t>
  </si>
  <si>
    <t>Philips</t>
  </si>
  <si>
    <t>Kiran B R</t>
  </si>
  <si>
    <t>VP, Product &amp; Engineering</t>
  </si>
  <si>
    <t>Rakuten India</t>
  </si>
  <si>
    <t>Kapil Daga</t>
  </si>
  <si>
    <t>VP, Advanced Analytics</t>
  </si>
  <si>
    <t>ValueMomentum</t>
  </si>
  <si>
    <t>Hari Bharadwaj</t>
  </si>
  <si>
    <t>Country Head, Senior Director - Global Delivery Lead</t>
  </si>
  <si>
    <t>Clovertex, conduent</t>
  </si>
  <si>
    <t>Raj Khemani</t>
  </si>
  <si>
    <t>VP- IT</t>
  </si>
  <si>
    <t>Solventum</t>
  </si>
  <si>
    <t>Manjunath G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</si>
  <si>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  <u/>
      </rPr>
      <t>COE Engineering &amp; Site Leader (GCC Head)</t>
    </r>
  </si>
  <si>
    <t>3M</t>
  </si>
  <si>
    <t>Srinivasa Rao Mangipudi</t>
  </si>
  <si>
    <t>Director Data Analytics</t>
  </si>
  <si>
    <t>Providence India</t>
  </si>
  <si>
    <t>Shirish T.</t>
  </si>
  <si>
    <t>Chief Digital Data Officer | Data, AI, and Analytics</t>
  </si>
  <si>
    <t>Lloyds Technology Centre India</t>
  </si>
  <si>
    <t>Deen Dayal Naidu</t>
  </si>
  <si>
    <t>Global Head - Digital Operations, Cloud Transformation &amp; Site Leader - India GDTC</t>
  </si>
  <si>
    <t>Kimberly Clark</t>
  </si>
  <si>
    <t>madhusudanan kandasamy</t>
  </si>
  <si>
    <t>Director - Artificial Intelligence</t>
  </si>
  <si>
    <t>Indranil Chatterjee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</si>
  <si>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  <u/>
      </rPr>
      <t>Global Lead GCC, NOC Services &amp; Technology</t>
    </r>
  </si>
  <si>
    <t>Sandoz</t>
  </si>
  <si>
    <t>Vice President, Software Engineering and Site Leader for Hyderabad</t>
  </si>
  <si>
    <t>CIO</t>
  </si>
  <si>
    <t>Tech mahindra</t>
  </si>
  <si>
    <t>Ashish jain</t>
  </si>
  <si>
    <t>Head of Engineering - Commercial CIO &amp; Tech platforn lead</t>
  </si>
  <si>
    <t>Vijayaraman Subramanian</t>
  </si>
  <si>
    <t>VP &amp; MD</t>
  </si>
  <si>
    <t>Verizon</t>
  </si>
  <si>
    <t>https://www.linkedin.com/in/vijayaraman-subramanian-7346a6/</t>
  </si>
  <si>
    <t>Ranveer Kumar</t>
  </si>
  <si>
    <t>Director Technology - Digital Development &amp; Transformation</t>
  </si>
  <si>
    <t>TA Digital</t>
  </si>
  <si>
    <t>Bharath Ram Sankar</t>
  </si>
  <si>
    <t>Padel Start</t>
  </si>
  <si>
    <t>Preeti Chauhan</t>
  </si>
  <si>
    <t>Senior Director, AI CoE</t>
  </si>
  <si>
    <t xml:space="preserve">Nagesh Chukka
</t>
  </si>
  <si>
    <t>Head Engineering L&amp;H Re</t>
  </si>
  <si>
    <t>Yoganand Tadepalli</t>
  </si>
  <si>
    <t>CTO</t>
  </si>
  <si>
    <t>Insurance information Bureau Of India</t>
  </si>
  <si>
    <t>Vanya Seth</t>
  </si>
  <si>
    <t xml:space="preserve">VP, Head of Technology </t>
  </si>
  <si>
    <t>Thoughtworks</t>
  </si>
  <si>
    <t>Gayathri Nadella</t>
  </si>
  <si>
    <t>Leader in Generative AI and ML</t>
  </si>
  <si>
    <t>Kondapalli prasad</t>
  </si>
  <si>
    <t xml:space="preserve">SVP 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</si>
  <si>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1.0"/>
        <u/>
      </rPr>
      <t>Inspiredge IT Solutions</t>
    </r>
  </si>
  <si>
    <t>Sreyanka paul</t>
  </si>
  <si>
    <t>Red Switch global</t>
  </si>
  <si>
    <t>Ramesh paluri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</si>
  <si>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1.0"/>
        <u/>
      </rPr>
      <t>Capgemini Invent</t>
    </r>
  </si>
  <si>
    <t>Keerthi Vaddi</t>
  </si>
  <si>
    <t>Director of Quality Assurance</t>
  </si>
  <si>
    <t>Encora</t>
  </si>
  <si>
    <t>Mangesh Chore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</si>
  <si>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  <u/>
      </rPr>
      <t>Global Delivery Leader - Core Technology Infrastructure, ETS and Head of GBS Technology</t>
    </r>
  </si>
  <si>
    <t>Bank Of America</t>
  </si>
  <si>
    <t>Naveen Pallayil</t>
  </si>
  <si>
    <t>Director and Head of India Operations - MAQ Software Group Companies</t>
  </si>
  <si>
    <t>MAQ Software</t>
  </si>
  <si>
    <t>Sameer Nagar</t>
  </si>
  <si>
    <t>Technology Operations Manager / Vice President</t>
  </si>
  <si>
    <t>Wells Fargo</t>
  </si>
  <si>
    <t>Anthil Anbazhagan</t>
  </si>
  <si>
    <t>anthil.anbazhagan@entainindia.com, anthiltg@gmail.com</t>
  </si>
  <si>
    <t>Entain India</t>
  </si>
  <si>
    <t>Nandakishore T</t>
  </si>
  <si>
    <t xml:space="preserve">Director, Generative AI &amp; Data </t>
  </si>
  <si>
    <t>Uber AI Solutions</t>
  </si>
  <si>
    <t>pankaj Khare</t>
  </si>
  <si>
    <t>Indusland Bank</t>
  </si>
  <si>
    <t>Karthik Raja S</t>
  </si>
  <si>
    <t>CIO and Digital Officer</t>
  </si>
  <si>
    <t>Granules India Limited</t>
  </si>
  <si>
    <t>Saurab Srivastav</t>
  </si>
  <si>
    <t xml:space="preserve">VP </t>
  </si>
  <si>
    <t>Randstad Global Capibility Centre</t>
  </si>
  <si>
    <t>Sanjay K.</t>
  </si>
  <si>
    <t>Head of Engineering Telecom, Media and Technnology</t>
  </si>
  <si>
    <t xml:space="preserve">Publicis Sapient </t>
  </si>
  <si>
    <t>Sandeep Arora</t>
  </si>
  <si>
    <t>Telecom Industry Leader - India</t>
  </si>
  <si>
    <t xml:space="preserve">Capgemini    </t>
  </si>
  <si>
    <t>Hari kotha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</si>
  <si>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  <u/>
      </rPr>
      <t>Senior Director of Engineering</t>
    </r>
  </si>
  <si>
    <t>Skills soft</t>
  </si>
  <si>
    <t>Rangarajan narasimhan</t>
  </si>
  <si>
    <t>rangarajan1977@gmail.com</t>
  </si>
  <si>
    <t>Vertiv</t>
  </si>
  <si>
    <t>Syed Azher</t>
  </si>
  <si>
    <t>Director Software Engineering</t>
  </si>
  <si>
    <t>Salesforce</t>
  </si>
  <si>
    <t>Warner Bros Discovery</t>
  </si>
  <si>
    <t>Saikat Chatterjee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</si>
  <si>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  <u/>
      </rPr>
      <t>Vice President - BFSI - Cloud, Cyber, Infrastructure, EUC, SIAM</t>
    </r>
  </si>
  <si>
    <t>Persistant System</t>
  </si>
  <si>
    <t>Murali Dodd</t>
  </si>
  <si>
    <t>Vice President Of Technology</t>
  </si>
  <si>
    <t xml:space="preserve">HighRadius  </t>
  </si>
  <si>
    <t>RameshKumar Garikipati</t>
  </si>
  <si>
    <t>Director Of Engineering</t>
  </si>
  <si>
    <t>Oracle</t>
  </si>
  <si>
    <t>https://www.linkedin.com/in/rameshkumargarikipati/</t>
  </si>
  <si>
    <t>Shantanu Verma</t>
  </si>
  <si>
    <t>Director of Technology Services</t>
  </si>
  <si>
    <t>Madhav Medicherla</t>
  </si>
  <si>
    <t>Vice President-Tech CoE Head</t>
  </si>
  <si>
    <t xml:space="preserve">Deloitte  </t>
  </si>
  <si>
    <t>Srikara Rao</t>
  </si>
  <si>
    <t>R systems</t>
  </si>
  <si>
    <t>Vishal Mahajan</t>
  </si>
  <si>
    <t>Senior Director of Software Engineering</t>
  </si>
  <si>
    <t>Tanay Kediyaa</t>
  </si>
  <si>
    <t>Partner and Head of Client Partner Engagement</t>
  </si>
  <si>
    <t>Gloples Solutions</t>
  </si>
  <si>
    <t>Gautam handoo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</si>
  <si>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  <u/>
      </rPr>
      <t>Vice President,  Digital Technology &amp; Dat</t>
    </r>
    <r>
      <rPr>
        <rFont val="Arial"/>
      </rPr>
      <t>a</t>
    </r>
  </si>
  <si>
    <t>Cargill</t>
  </si>
  <si>
    <t>Mahaveer Jinka</t>
  </si>
  <si>
    <t>Engineering Technical Leader</t>
  </si>
  <si>
    <t>Cisco</t>
  </si>
  <si>
    <t>Santosh Gupta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</si>
  <si>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  <u/>
      </rPr>
      <t>SVP, Global Head of Infrastructure, Cloud &amp; Operations</t>
    </r>
  </si>
  <si>
    <t>Pepsi Co</t>
  </si>
  <si>
    <t>Meenakshi</t>
  </si>
  <si>
    <t>HR Country leader</t>
  </si>
  <si>
    <t>Modmed</t>
  </si>
  <si>
    <t>Srikanth Sattiraju</t>
  </si>
  <si>
    <t>Managing Director - Global Technology Services</t>
  </si>
  <si>
    <t>State Street</t>
  </si>
  <si>
    <t>Kunal Khaware</t>
  </si>
  <si>
    <t>Director of Engineering</t>
  </si>
  <si>
    <t>ServiceNow</t>
  </si>
  <si>
    <t>Anil Raghav</t>
  </si>
  <si>
    <t>MD  Zeotis Capability Centre</t>
  </si>
  <si>
    <t xml:space="preserve">Zeotis </t>
  </si>
  <si>
    <t>Rajesh Ramaswami</t>
  </si>
  <si>
    <t>Elevance Health</t>
  </si>
  <si>
    <t>Senthil Nedunchezhian</t>
  </si>
  <si>
    <t xml:space="preserve">Head of Engineering, Digital Health Technology </t>
  </si>
  <si>
    <t>Alcon</t>
  </si>
  <si>
    <t>Ananth Siddanthi</t>
  </si>
  <si>
    <t>Comm Scope</t>
  </si>
  <si>
    <t>Ramnik Singh</t>
  </si>
  <si>
    <t>Senior Vice President, Principal Group Engineering | Head of Corporate Technology at Arcesium</t>
  </si>
  <si>
    <t>Arcesium</t>
  </si>
  <si>
    <t>Mukul Jain</t>
  </si>
  <si>
    <t>Director of IT SWE Software Engineering &amp; Co-Founder</t>
  </si>
  <si>
    <t>ZF Group</t>
  </si>
  <si>
    <t>kalyan solasa</t>
  </si>
  <si>
    <t>Executive Director, Expert Engineer, Architecture &amp; Engineering at JPMorgan Chase</t>
  </si>
  <si>
    <t>JPMorgan Chase &amp; Co.</t>
  </si>
  <si>
    <t>Suresh Kumar</t>
  </si>
  <si>
    <t>CIO  Head</t>
  </si>
  <si>
    <t>Rekitt</t>
  </si>
  <si>
    <t>Govardhan Mattela</t>
  </si>
  <si>
    <t xml:space="preserve">COE Eng. Chief Architect, Gen AI Software &amp; Edge AI/IoT Systems Engineering </t>
  </si>
  <si>
    <t>Tata Consultancy Services</t>
  </si>
  <si>
    <t>Sarron Mohapatra</t>
  </si>
  <si>
    <t xml:space="preserve">Director of Engineering </t>
  </si>
  <si>
    <t>pavan kumar</t>
  </si>
  <si>
    <t>Vice President Oracle cloud &amp; DB</t>
  </si>
  <si>
    <t>Sutherland Global Services Ltd</t>
  </si>
  <si>
    <t>Pankaj K.</t>
  </si>
  <si>
    <t>SVP &amp; Global Head of Engineering</t>
  </si>
  <si>
    <t>Ganesh Akondi</t>
  </si>
  <si>
    <t>Manager, IT Engineering</t>
  </si>
  <si>
    <t>Ashok Punnam</t>
  </si>
  <si>
    <t>Vice President Information Technology</t>
  </si>
  <si>
    <t xml:space="preserve">BNY Mellon | Eagle Investment Systems </t>
  </si>
  <si>
    <t>Sasikiran M.</t>
  </si>
  <si>
    <t>sasikiranmeka@gmail.com</t>
  </si>
  <si>
    <t>Senior Vice President, Senior Director, Institutional Buy Side Engineering</t>
  </si>
  <si>
    <t>FactSet</t>
  </si>
  <si>
    <t>https://www.linkedin.com/in/sasikiranmeka/</t>
  </si>
  <si>
    <t>ValueLabs</t>
  </si>
  <si>
    <t>Rajiv Kumar</t>
  </si>
  <si>
    <t xml:space="preserve">Managing Director and Corporate Vice President </t>
  </si>
  <si>
    <t>Sarat Kumar Magatapalli</t>
  </si>
  <si>
    <t>Software Engineering Leader</t>
  </si>
  <si>
    <t>Apple</t>
  </si>
  <si>
    <t>Bathula Polaiah</t>
  </si>
  <si>
    <t xml:space="preserve">JPMorganChase </t>
  </si>
  <si>
    <t>busy on 2nd may</t>
  </si>
  <si>
    <t>Dr.Durga Prakash Devarakonda (DP)</t>
  </si>
  <si>
    <t xml:space="preserve">Head of Technology - Global Offices </t>
  </si>
  <si>
    <t>Sitaram Tadepalli</t>
  </si>
  <si>
    <t xml:space="preserve">Senior Vice President, Machine Learning Engineering </t>
  </si>
  <si>
    <t>DBS Bank</t>
  </si>
  <si>
    <t>Vijay Morampudi</t>
  </si>
  <si>
    <t xml:space="preserve">AI Strategy &amp; Transformation Leader </t>
  </si>
  <si>
    <t>Marsh McLennan</t>
  </si>
  <si>
    <t>Swaminathan Babu</t>
  </si>
  <si>
    <t>swaminathan.babu@reckitt.com</t>
  </si>
  <si>
    <t xml:space="preserve">GCC Global CoE Lead : FP&amp;A Product Operations </t>
  </si>
  <si>
    <t>91 98119 90076</t>
  </si>
  <si>
    <t>https://www.linkedin.com/in/swbabu/</t>
  </si>
  <si>
    <t>khare.ashutosh@gmail.com</t>
  </si>
  <si>
    <t>Head (India) - Artificial Intelligence CoE</t>
  </si>
  <si>
    <t>https://www.linkedin.com/in/ashutoshkhare/</t>
  </si>
  <si>
    <t>https://www.linkedin.com/in/rupesshgoel/</t>
  </si>
  <si>
    <t>Sudhakar Reddy</t>
  </si>
  <si>
    <t>sudhakar.reddy@kyndryl.com</t>
  </si>
  <si>
    <t>AI Leader</t>
  </si>
  <si>
    <t>Kyndryl India</t>
  </si>
  <si>
    <t>https://www.linkedin.com/in/sudhakar-reddy-gali/</t>
  </si>
  <si>
    <t>https://www.linkedin.com/in/josesunil/</t>
  </si>
  <si>
    <t>https://www.linkedin.com/in/maneesh-sehagal-119a4a2/</t>
  </si>
  <si>
    <t>Arun Palivela</t>
  </si>
  <si>
    <t>apalivela@aligntech.com</t>
  </si>
  <si>
    <t>Ali</t>
  </si>
  <si>
    <t>https://www.linkedin.com/in/arun-palivela-a014229/</t>
  </si>
  <si>
    <t>Maneesh Sehagal</t>
  </si>
  <si>
    <t>maneeshsehagal@dbs.com</t>
  </si>
  <si>
    <t xml:space="preserve">DBS Tech </t>
  </si>
  <si>
    <t>Nanda K Lakkaraju</t>
  </si>
  <si>
    <t>nanda.lakkaraju@carrier.com, nanda_lakkaraju@hotmail.com</t>
  </si>
  <si>
    <t>Carrier Technologies India Limited</t>
  </si>
  <si>
    <t>https://www.linkedin.com/in/nanda-k-lakkaraju-31b246a/</t>
  </si>
  <si>
    <t>Surya Thammiraju</t>
  </si>
  <si>
    <t>surya.thammiraju@thehartford.com</t>
  </si>
  <si>
    <t>Managing Director and India Head</t>
  </si>
  <si>
    <t>The Hartford</t>
  </si>
  <si>
    <t>https://www.linkedin.com/in/thammiraju/</t>
  </si>
  <si>
    <t>Pavan Deevi</t>
  </si>
  <si>
    <t>Senior Vice President - Wealth Management India, Portfolio Leader</t>
  </si>
  <si>
    <t>Broadridge</t>
  </si>
  <si>
    <t>https://www.linkedin.com/in/pavan-deevi/</t>
  </si>
  <si>
    <t>Raghu Mangaraju</t>
  </si>
  <si>
    <t>Head of OSF Digital India GCC</t>
  </si>
  <si>
    <t>OSF Digital</t>
  </si>
  <si>
    <t>https://www.linkedin.com/in/rmangaraju/</t>
  </si>
  <si>
    <t>President – GCC</t>
  </si>
  <si>
    <t>Clean Harbors India</t>
  </si>
  <si>
    <t>Chakravarthy Aravapalli</t>
  </si>
  <si>
    <t>chakravarthy.aravapalli@reckitt.com, chakravarthyaravapalli@gmail.com</t>
  </si>
  <si>
    <t>VP-IT&amp;D ERP &amp; Centre Head - Hyderabad Hub</t>
  </si>
  <si>
    <t>Reckitt India</t>
  </si>
  <si>
    <t>https://www.linkedin.com/in/chakravarthyaravapalli/</t>
  </si>
  <si>
    <t>Surabhi Sharma</t>
  </si>
  <si>
    <t>Site Leader &amp; Sr Director</t>
  </si>
  <si>
    <t>Backbase India</t>
  </si>
  <si>
    <t>https://www.linkedin.com/in/surabhi-sharma-05200914/</t>
  </si>
  <si>
    <t xml:space="preserve">Sandeep Kumar Jain </t>
  </si>
  <si>
    <t>CDK Global India</t>
  </si>
  <si>
    <t>https://www.linkedin.com/in/sandeepjainhyd/</t>
  </si>
  <si>
    <t>Head of Evernorth Health Services India</t>
  </si>
  <si>
    <t>https://www.linkedin.com/in/prashanti-bodugum-4745812/</t>
  </si>
  <si>
    <t>Jyothsna Kuchimanchi</t>
  </si>
  <si>
    <t>Senior Director</t>
  </si>
  <si>
    <t>UnitedHealth Group</t>
  </si>
  <si>
    <t>https://www.linkedin.com/in/jyothsna-kuchimanchi/</t>
  </si>
  <si>
    <t>Praveen Medisetti</t>
  </si>
  <si>
    <t>praveenmedisetti@gmail.com</t>
  </si>
  <si>
    <t>Country Leader – Technology &amp; Data</t>
  </si>
  <si>
    <t>Flutter India</t>
  </si>
  <si>
    <t>https://www.linkedin.com/in/pm24/</t>
  </si>
  <si>
    <t>Pradeep Gupta</t>
  </si>
  <si>
    <t>Head of Legal and Compliance</t>
  </si>
  <si>
    <t>The HEINEKEN Company</t>
  </si>
  <si>
    <t>https://www.linkedin.com/in/pradeep-gupta-3a216418/?skipRedirect=true</t>
  </si>
  <si>
    <t>Meenakshi Chhillar</t>
  </si>
  <si>
    <t>HR Country Leader</t>
  </si>
  <si>
    <t>ModMed</t>
  </si>
  <si>
    <t>https://www.linkedin.com/in/meenakshi-chhillar-7b042077/</t>
  </si>
  <si>
    <t xml:space="preserve">Aditya Shiralkar </t>
  </si>
  <si>
    <t>Senior Partner &amp; Global Head, AI &amp; Data</t>
  </si>
  <si>
    <t>Tech Mahindra Consulting</t>
  </si>
  <si>
    <t>https://www.linkedin.com/in/aditya-shiralkar/</t>
  </si>
  <si>
    <t>https://www.linkedin.com/in/sangeetha-yanamandra-76394b1/?skipRedirect=true</t>
  </si>
  <si>
    <t>Dr. Girish Kapur</t>
  </si>
  <si>
    <t>girishkapur23@gmail.com</t>
  </si>
  <si>
    <t>Senior Vice President &amp; Site Head, R&amp;D</t>
  </si>
  <si>
    <t>US Pharmacopeia - India Pvt. Ltd.</t>
  </si>
  <si>
    <t>https://www.linkedin.com/in/dr-girish-kapur-0870a634/</t>
  </si>
  <si>
    <t xml:space="preserve">Kishore Veeraghattam </t>
  </si>
  <si>
    <t>kishore.v@colliers.com</t>
  </si>
  <si>
    <t>Managing Director - Hyderabad &amp; Chennai</t>
  </si>
  <si>
    <t>Colliers International</t>
  </si>
  <si>
    <t>https://www.linkedin.com/in/kishore-veeraghattam-18008150/</t>
  </si>
  <si>
    <t>Komal Ahuja</t>
  </si>
  <si>
    <t>kahuja2207@gmail.com</t>
  </si>
  <si>
    <t xml:space="preserve">VP, APAC Global Network &amp; Streaming Segment Controller and Head of Global Accounting COE </t>
  </si>
  <si>
    <t>Rajeev Mall</t>
  </si>
  <si>
    <t>rmall@costco.com, rajeevmall99@hotmail.com</t>
  </si>
  <si>
    <t>Vice President-Costco Digital Services, Costco</t>
  </si>
  <si>
    <t>Wholesale India</t>
  </si>
  <si>
    <t>Subba Perepa</t>
  </si>
  <si>
    <t>Managing Director &amp; Head of CCB Technology</t>
  </si>
  <si>
    <t>https://www.linkedin.com/in/subbaperepa/</t>
  </si>
  <si>
    <t>Zoetis India Capability Centre</t>
  </si>
  <si>
    <t>Ramesh Kaza</t>
  </si>
  <si>
    <t>EVP / President &amp; Country Head</t>
  </si>
  <si>
    <t>LPL Financial Global Capability Center</t>
  </si>
  <si>
    <t>Rupessh Goel</t>
  </si>
  <si>
    <t xml:space="preserve">rupesh.g7@gmail.com </t>
  </si>
  <si>
    <t>Managing Director &amp; Head of Credit, Data &amp; Analytics and Product - India</t>
  </si>
  <si>
    <t xml:space="preserve">First Citizens India   </t>
  </si>
  <si>
    <t>91 70936 04460</t>
  </si>
  <si>
    <t>ranga.pothula@infor.com</t>
  </si>
  <si>
    <t>MD India Sub-continent &amp; SVP Global delivery services</t>
  </si>
  <si>
    <t>https://www.linkedin.com/in/ranga-pothula-1b36042/</t>
  </si>
  <si>
    <t>Global Lead GCC, NOC Services &amp; Technology</t>
  </si>
  <si>
    <t>https://www.linkedin.com/in/indranil-chatterjee-1245727/</t>
  </si>
  <si>
    <t>Atul Kapoor</t>
  </si>
  <si>
    <t>atul.kapoor@hcahealthcare.com</t>
  </si>
  <si>
    <t>Vice President, Hyderabad Center Head, HCA Healthcare - India</t>
  </si>
  <si>
    <t>https://www.linkedin.com/in/atul-kapoor-70a13222/</t>
  </si>
  <si>
    <t>Biju Davis</t>
  </si>
  <si>
    <t>bdavis@invoicecloud.com</t>
  </si>
  <si>
    <t>Senior Vice President and India Site Leader</t>
  </si>
  <si>
    <t>Invoice Cloud</t>
  </si>
  <si>
    <t>https://www.linkedin.com/in/biju-davis-5710781/</t>
  </si>
  <si>
    <t>Sairam Nair</t>
  </si>
  <si>
    <t>Head Sandoz Global Competency Centers</t>
  </si>
  <si>
    <t>https://www.linkedin.com/in/sairam-nair/</t>
  </si>
  <si>
    <t>deshant.kaila@us.mcd.com, deshantkaila@gmail.com</t>
  </si>
  <si>
    <t>Head McDonald’s GBS Operations</t>
  </si>
  <si>
    <t>https://www.linkedin.com/in/deshantkaila/</t>
  </si>
  <si>
    <t>Laxmikanth Katheragandla</t>
  </si>
  <si>
    <t>lkatheragandla@gmail.com</t>
  </si>
  <si>
    <t xml:space="preserve">Head of India Ops/Sr Director, Engineering </t>
  </si>
  <si>
    <t>Jaggaer</t>
  </si>
  <si>
    <t>91 98661 77787</t>
  </si>
  <si>
    <t>https://www.linkedin.com/in/katheragandla/</t>
  </si>
  <si>
    <t>Harsh Chadha</t>
  </si>
  <si>
    <t>Senior Director IT - Lilly Capability Centre Hyderabad</t>
  </si>
  <si>
    <t>Eli Lilly and Company</t>
  </si>
  <si>
    <t>https://www.linkedin.com/in/harsh-chadha-86996410/</t>
  </si>
  <si>
    <t>Sonia Ahuja</t>
  </si>
  <si>
    <t xml:space="preserve">Director - HR </t>
  </si>
  <si>
    <t>Nemetschek India</t>
  </si>
  <si>
    <t>Karthik Duddala</t>
  </si>
  <si>
    <t>karthik.duddala@msd.com, kduddala@yahoo.com</t>
  </si>
  <si>
    <t>MSD</t>
  </si>
  <si>
    <t>https://www.linkedin.com/in/karthikd/</t>
  </si>
  <si>
    <t xml:space="preserve">Arun Prakash Asokan </t>
  </si>
  <si>
    <t>Global AI Leader</t>
  </si>
  <si>
    <t xml:space="preserve">Novartis </t>
  </si>
  <si>
    <t>https://www.linkedin.com/in/arunprakashasokan/</t>
  </si>
  <si>
    <t xml:space="preserve">Mayur Kapoor </t>
  </si>
  <si>
    <t>Chief Strategy Officer</t>
  </si>
  <si>
    <t>TransUnion</t>
  </si>
  <si>
    <t>https://www.linkedin.com/in/mayurkapur/</t>
  </si>
  <si>
    <t>Niranjan Gattupalli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</si>
  <si>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  <u/>
      </rPr>
      <t>Founder and CEO</t>
    </r>
  </si>
  <si>
    <t>ReleaseOwl</t>
  </si>
  <si>
    <t>https://www.linkedin.com/in/gniranjan/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</si>
  <si>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  <u/>
      </rPr>
      <t>Sriram Cherukuvada</t>
    </r>
  </si>
  <si>
    <t>Vice President &amp; Head – Engineering</t>
  </si>
  <si>
    <t>Adroitent</t>
  </si>
  <si>
    <t>https://www.linkedin.com/in/sriram-cherukuvada-19b85219/</t>
  </si>
  <si>
    <t>Valli Bollavaram</t>
  </si>
  <si>
    <t xml:space="preserve">CTO </t>
  </si>
  <si>
    <t xml:space="preserve">Swiss Re </t>
  </si>
  <si>
    <t>https://www.linkedin.com/in/valli-bollavaram/</t>
  </si>
  <si>
    <t>Vijaya Kadiyala</t>
  </si>
  <si>
    <t>Global Technology Executive &amp; GCC Leader</t>
  </si>
  <si>
    <t xml:space="preserve">DBS Bank </t>
  </si>
  <si>
    <t>https://www.linkedin.com/in/vijaya-kadiyala/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</si>
</sst>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sz val="11.0"/>
      <color theme="1"/>
      <name val="Aptos Narrow"/>
    </font>
    <font>
      <u/>
      <sz val="11.0"/>
      <color rgb="FF0000FF"/>
      <name val="Aptos Narrow"/>
    </font>
    <font>
      <u/>
      <sz val="11.0"/>
      <color rgb="FF0000FF"/>
      <name val="Arial"/>
    </font>
    <font>
      <u/>
      <color rgb="FF1155CC"/>
      <name val="Arial"/>
    </font>
    <font>
      <sz val="12.0"/>
      <color theme="1"/>
      <name val="Inter"/>
    </font>
    <font>
      <u/>
      <color rgb="FF0000FF"/>
      <name val="Arial"/>
    </font>
    <font>
      <u/>
      <color rgb="FF1155CC"/>
      <name val="Arial"/>
    </font>
    <font>
      <u/>
      <sz val="12.0"/>
      <color rgb="FF1155CC"/>
      <name val="Arial"/>
    </font>
    <font>
      <u/>
      <color rgb="FF0000FF"/>
      <name val="Arial"/>
    </font>
    <font>
      <color rgb="FF000000"/>
      <name val="System-ui"/>
    </font>
    <font>
      <sz val="12.0"/>
      <color theme="1"/>
      <name val="Arial"/>
    </font>
    <font>
      <sz val="12.0"/>
      <color rgb="FF000000"/>
      <name val="System-ui"/>
    </font>
    <font>
      <u/>
      <sz val="12.0"/>
      <color rgb="FF1155CC"/>
      <name val="Arial"/>
    </font>
    <font>
      <sz val="12.0"/>
      <color theme="1"/>
      <name val="Robotomedium"/>
    </font>
    <font>
      <sz val="12.0"/>
      <color rgb="FF000000"/>
      <name val="-apple-system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3" fontId="3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3" fontId="5" numFmtId="0" xfId="0" applyAlignment="1" applyFill="1" applyFont="1">
      <alignment shrinkToFit="0" vertical="bottom" wrapText="1"/>
    </xf>
    <xf borderId="0" fillId="3" fontId="4" numFmtId="0" xfId="0" applyAlignment="1" applyFill="1" applyFont="1">
      <alignment horizontal="right" vertical="bottom"/>
    </xf>
    <xf borderId="0" fillId="3" fontId="6" numFmtId="0" xfId="0" applyAlignment="1" applyFill="1" applyFont="1">
      <alignment vertical="bottom"/>
    </xf>
    <xf borderId="0" fillId="3" fontId="2" numFmtId="0" xfId="0" applyFill="1" applyFont="1"/>
    <xf borderId="0" fillId="3" fontId="3" numFmtId="0" xfId="0" applyAlignment="1" applyFill="1" applyFont="1">
      <alignment shrinkToFit="0" vertical="bottom" wrapText="1"/>
    </xf>
    <xf borderId="0" fillId="3" fontId="7" numFmtId="0" xfId="0" applyAlignment="1" applyFill="1" applyFont="1">
      <alignment vertical="bottom"/>
    </xf>
    <xf borderId="0" fillId="3" fontId="5" numFmtId="0" xfId="0" applyAlignment="1" applyFill="1" applyFont="1">
      <alignment vertical="bottom"/>
    </xf>
    <xf borderId="0" fillId="3" fontId="3" numFmtId="0" xfId="0" applyAlignment="1" applyFill="1" applyFont="1">
      <alignment readingOrder="0" shrinkToFit="0" vertical="bottom" wrapText="1"/>
    </xf>
    <xf borderId="0" fillId="3" fontId="4" numFmtId="0" xfId="0" applyAlignment="1" applyFill="1" applyFont="1">
      <alignment shrinkToFit="0" vertical="bottom" wrapText="1"/>
    </xf>
    <xf borderId="0" fillId="3" fontId="8" numFmtId="0" xfId="0" applyAlignment="1" applyFill="1" applyFont="1">
      <alignment vertical="bottom"/>
    </xf>
    <xf borderId="0" fillId="3" fontId="9" numFmtId="0" xfId="0" applyAlignment="1" applyFill="1" applyFont="1">
      <alignment horizontal="right" vertical="bottom"/>
    </xf>
    <xf borderId="0" fillId="3" fontId="10" numFmtId="0" xfId="0" applyAlignment="1" applyFill="1" applyFont="1">
      <alignment vertical="bottom"/>
    </xf>
    <xf borderId="0" fillId="3" fontId="11" numFmtId="0" xfId="0" applyAlignment="1" applyFill="1" applyFont="1">
      <alignment shrinkToFit="0" vertical="bottom" wrapText="1"/>
    </xf>
    <xf borderId="0" fillId="3" fontId="12" numFmtId="0" xfId="0" applyAlignment="1" applyFill="1" applyFont="1">
      <alignment shrinkToFit="0" vertical="bottom" wrapText="1"/>
    </xf>
    <xf borderId="0" fillId="3" fontId="13" numFmtId="0" xfId="0" applyAlignment="1" applyFill="1" applyFont="1">
      <alignment shrinkToFit="0" vertical="bottom" wrapText="1"/>
    </xf>
    <xf borderId="0" fillId="3" fontId="14" numFmtId="0" xfId="0" applyAlignment="1" applyFill="1" applyFont="1">
      <alignment shrinkToFit="0" vertical="bottom" wrapText="1"/>
    </xf>
    <xf borderId="0" fillId="3" fontId="9" numFmtId="0" xfId="0" applyAlignment="1" applyFill="1" applyFont="1">
      <alignment vertical="bottom"/>
    </xf>
    <xf borderId="0" fillId="3" fontId="15" numFmtId="0" xfId="0" applyAlignment="1" applyFill="1" applyFont="1">
      <alignment vertical="bottom"/>
    </xf>
    <xf borderId="0" fillId="3" fontId="16" numFmtId="0" xfId="0" applyAlignment="1" applyFill="1" applyFont="1">
      <alignment shrinkToFit="0" vertical="bottom" wrapText="1"/>
    </xf>
    <xf borderId="0" fillId="3" fontId="15" numFmtId="0" xfId="0" applyAlignment="1" applyFill="1" applyFont="1">
      <alignment shrinkToFit="0" vertical="bottom" wrapText="1"/>
    </xf>
    <xf borderId="0" fillId="3" fontId="17" numFmtId="0" xfId="0" applyAlignment="1" applyFill="1" applyFont="1">
      <alignment vertical="bottom"/>
    </xf>
    <xf borderId="0" fillId="3" fontId="18" numFmtId="0" xfId="0" applyAlignment="1" applyFill="1" applyFont="1">
      <alignment vertical="bottom"/>
    </xf>
    <xf borderId="0" fillId="3" fontId="19" numFmtId="0" xfId="0" applyAlignment="1" applyFill="1" applyFont="1">
      <alignment vertical="bottom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search/results/people/?keywords=Jay%20Doshi%20BT%20Group" TargetMode="External"/><Relationship Id="rId42" Type="http://schemas.openxmlformats.org/officeDocument/2006/relationships/hyperlink" Target="https://www.linkedin.com/search/results/people/?keywords=Pari%20Natarajan%20Zinnov" TargetMode="External"/><Relationship Id="rId41" Type="http://schemas.openxmlformats.org/officeDocument/2006/relationships/hyperlink" Target="https://www.linkedin.com/search/results/people/?keywords=Sachin%20Kulkarni%20Fiserv" TargetMode="External"/><Relationship Id="rId44" Type="http://schemas.openxmlformats.org/officeDocument/2006/relationships/hyperlink" Target="https://www.linkedin.com/search/results/people/?keywords=Niladri%20Ray%20Flexera" TargetMode="External"/><Relationship Id="rId43" Type="http://schemas.openxmlformats.org/officeDocument/2006/relationships/hyperlink" Target="https://www.linkedin.com/search/results/people/?keywords=Sreedevi%20Hegde%20Vervent" TargetMode="External"/><Relationship Id="rId46" Type="http://schemas.openxmlformats.org/officeDocument/2006/relationships/hyperlink" Target="https://www.linkedin.com/search/results/people/?keywords=Lalitha%20Indrakanti" TargetMode="External"/><Relationship Id="rId45" Type="http://schemas.openxmlformats.org/officeDocument/2006/relationships/hyperlink" Target="https://www.linkedin.com/search/results/people/?keywords=Vijay%20Simha%20Castlight" TargetMode="External"/><Relationship Id="rId107" Type="http://schemas.openxmlformats.org/officeDocument/2006/relationships/hyperlink" Target="https://www.linkedin.com/in/swbabu/" TargetMode="External"/><Relationship Id="rId106" Type="http://schemas.openxmlformats.org/officeDocument/2006/relationships/hyperlink" Target="https://www.linkedin.com/in/sasikiranmeka/" TargetMode="External"/><Relationship Id="rId105" Type="http://schemas.openxmlformats.org/officeDocument/2006/relationships/hyperlink" Target="https://www.linkedin.com/company/1431/" TargetMode="External"/><Relationship Id="rId104" Type="http://schemas.openxmlformats.org/officeDocument/2006/relationships/hyperlink" Target="https://www.linkedin.com/company/2678/" TargetMode="External"/><Relationship Id="rId109" Type="http://schemas.openxmlformats.org/officeDocument/2006/relationships/hyperlink" Target="https://www.linkedin.com/in/rupesshgoel/" TargetMode="External"/><Relationship Id="rId108" Type="http://schemas.openxmlformats.org/officeDocument/2006/relationships/hyperlink" Target="https://www.linkedin.com/in/ashutoshkhare/" TargetMode="External"/><Relationship Id="rId48" Type="http://schemas.openxmlformats.org/officeDocument/2006/relationships/hyperlink" Target="https://www.linkedin.com/search/results/people/?keywords=Manikandan%20Thangarathnam%20Uber" TargetMode="External"/><Relationship Id="rId47" Type="http://schemas.openxmlformats.org/officeDocument/2006/relationships/hyperlink" Target="https://www.linkedin.com/search/results/people/?keywords=Ashish%20Dugar" TargetMode="External"/><Relationship Id="rId49" Type="http://schemas.openxmlformats.org/officeDocument/2006/relationships/hyperlink" Target="https://www.linkedin.com/search/results/people/?keywords=Dr%20Sai%20Praveen%20Haranath" TargetMode="External"/><Relationship Id="rId103" Type="http://schemas.openxmlformats.org/officeDocument/2006/relationships/hyperlink" Target="https://www.linkedin.com/in/rameshkumargarikipati/" TargetMode="External"/><Relationship Id="rId102" Type="http://schemas.openxmlformats.org/officeDocument/2006/relationships/hyperlink" Target="https://www.linkedin.com/company/5034/" TargetMode="External"/><Relationship Id="rId101" Type="http://schemas.openxmlformats.org/officeDocument/2006/relationships/hyperlink" Target="https://www.linkedin.com/company/5383/" TargetMode="External"/><Relationship Id="rId100" Type="http://schemas.openxmlformats.org/officeDocument/2006/relationships/hyperlink" Target="https://www.linkedin.com/company/1123/" TargetMode="External"/><Relationship Id="rId31" Type="http://schemas.openxmlformats.org/officeDocument/2006/relationships/hyperlink" Target="https://www.linkedin.com/search/results/people/?keywords=Vijayaraman%20J.%20Subramanian" TargetMode="External"/><Relationship Id="rId30" Type="http://schemas.openxmlformats.org/officeDocument/2006/relationships/hyperlink" Target="https://www.linkedin.com/search/results/people/?keywords=David%20A.%20Smith" TargetMode="External"/><Relationship Id="rId33" Type="http://schemas.openxmlformats.org/officeDocument/2006/relationships/hyperlink" Target="https://www.linkedin.com/search/results/people/?keywords=Naveen%20Gullapalli" TargetMode="External"/><Relationship Id="rId32" Type="http://schemas.openxmlformats.org/officeDocument/2006/relationships/hyperlink" Target="https://www.linkedin.com/search/results/people/?keywords=Akshay%20Sahni%20Chevron" TargetMode="External"/><Relationship Id="rId35" Type="http://schemas.openxmlformats.org/officeDocument/2006/relationships/hyperlink" Target="https://www.linkedin.com/search/results/people/?keywords=Rajesh%20Nambiar" TargetMode="External"/><Relationship Id="rId34" Type="http://schemas.openxmlformats.org/officeDocument/2006/relationships/hyperlink" Target="https://www.linkedin.com/search/results/people/?keywords=Rohitashwa%20Aggarwal" TargetMode="External"/><Relationship Id="rId37" Type="http://schemas.openxmlformats.org/officeDocument/2006/relationships/hyperlink" Target="https://www.linkedin.com/search/results/people/?keywords=Srikanth%20Velamakanni" TargetMode="External"/><Relationship Id="rId36" Type="http://schemas.openxmlformats.org/officeDocument/2006/relationships/hyperlink" Target="https://www.linkedin.com/search/results/people/?keywords=John%20Higginson" TargetMode="External"/><Relationship Id="rId39" Type="http://schemas.openxmlformats.org/officeDocument/2006/relationships/hyperlink" Target="https://www.linkedin.com/search/results/people/?keywords=Anahita%20Tiwari%20Morgan%20Stanley" TargetMode="External"/><Relationship Id="rId38" Type="http://schemas.openxmlformats.org/officeDocument/2006/relationships/hyperlink" Target="https://www.linkedin.com/search/results/people/?keywords=Krishna%20G%20OutSystems" TargetMode="External"/><Relationship Id="rId20" Type="http://schemas.openxmlformats.org/officeDocument/2006/relationships/hyperlink" Target="https://www.linkedin.com/search/results/people/?keywords=Mahesh%20Patil" TargetMode="External"/><Relationship Id="rId22" Type="http://schemas.openxmlformats.org/officeDocument/2006/relationships/hyperlink" Target="https://www.linkedin.com/search/results/people/?keywords=Nataraj%20Kalyanaraman" TargetMode="External"/><Relationship Id="rId21" Type="http://schemas.openxmlformats.org/officeDocument/2006/relationships/hyperlink" Target="https://www.linkedin.com/search/results/people/?keywords=Nageswara%20Rao" TargetMode="External"/><Relationship Id="rId24" Type="http://schemas.openxmlformats.org/officeDocument/2006/relationships/hyperlink" Target="https://www.linkedin.com/search/results/people/?keywords=Shalinder%20Bakshi" TargetMode="External"/><Relationship Id="rId23" Type="http://schemas.openxmlformats.org/officeDocument/2006/relationships/hyperlink" Target="https://www.linkedin.com/search/results/people/?keywords=Jayesh%20Sanghvi" TargetMode="External"/><Relationship Id="rId129" Type="http://schemas.openxmlformats.org/officeDocument/2006/relationships/hyperlink" Target="https://www.linkedin.com/in/sangeetha-yanamandra-76394b1/?skipRedirect=true" TargetMode="External"/><Relationship Id="rId128" Type="http://schemas.openxmlformats.org/officeDocument/2006/relationships/hyperlink" Target="https://www.linkedin.com/in/aditya-shiralkar/" TargetMode="External"/><Relationship Id="rId127" Type="http://schemas.openxmlformats.org/officeDocument/2006/relationships/hyperlink" Target="https://www.linkedin.com/in/meenakshi-chhillar-7b042077/" TargetMode="External"/><Relationship Id="rId126" Type="http://schemas.openxmlformats.org/officeDocument/2006/relationships/hyperlink" Target="https://www.linkedin.com/in/pradeep-gupta-3a216418/?skipRedirect=true" TargetMode="External"/><Relationship Id="rId26" Type="http://schemas.openxmlformats.org/officeDocument/2006/relationships/hyperlink" Target="https://www.linkedin.com/search/results/people/?keywords=Nilesh%20Kulkarni" TargetMode="External"/><Relationship Id="rId121" Type="http://schemas.openxmlformats.org/officeDocument/2006/relationships/hyperlink" Target="https://www.linkedin.com/in/surabhi-sharma-05200914/" TargetMode="External"/><Relationship Id="rId25" Type="http://schemas.openxmlformats.org/officeDocument/2006/relationships/hyperlink" Target="https://www.linkedin.com/search/results/people/?keywords=Rajesh%20Bharatiya" TargetMode="External"/><Relationship Id="rId120" Type="http://schemas.openxmlformats.org/officeDocument/2006/relationships/hyperlink" Target="https://www.linkedin.com/in/chakravarthyaravapalli/" TargetMode="External"/><Relationship Id="rId28" Type="http://schemas.openxmlformats.org/officeDocument/2006/relationships/hyperlink" Target="https://www.linkedin.com/search/results/people/?keywords=Sriharsha%20Gummadi" TargetMode="External"/><Relationship Id="rId27" Type="http://schemas.openxmlformats.org/officeDocument/2006/relationships/hyperlink" Target="https://www.linkedin.com/search/results/people/?keywords=Amardeep%20Singh" TargetMode="External"/><Relationship Id="rId125" Type="http://schemas.openxmlformats.org/officeDocument/2006/relationships/hyperlink" Target="https://www.linkedin.com/in/pm24/" TargetMode="External"/><Relationship Id="rId29" Type="http://schemas.openxmlformats.org/officeDocument/2006/relationships/hyperlink" Target="https://www.linkedin.com/search/results/people/?keywords=Mamatha%20Madireddy" TargetMode="External"/><Relationship Id="rId124" Type="http://schemas.openxmlformats.org/officeDocument/2006/relationships/hyperlink" Target="https://www.linkedin.com/in/jyothsna-kuchimanchi/" TargetMode="External"/><Relationship Id="rId123" Type="http://schemas.openxmlformats.org/officeDocument/2006/relationships/hyperlink" Target="https://www.linkedin.com/in/prashanti-bodugum-4745812/" TargetMode="External"/><Relationship Id="rId122" Type="http://schemas.openxmlformats.org/officeDocument/2006/relationships/hyperlink" Target="https://www.linkedin.com/in/sandeepjainhyd/" TargetMode="External"/><Relationship Id="rId95" Type="http://schemas.openxmlformats.org/officeDocument/2006/relationships/hyperlink" Target="https://www.linkedin.com/company/4891/" TargetMode="External"/><Relationship Id="rId94" Type="http://schemas.openxmlformats.org/officeDocument/2006/relationships/hyperlink" Target="https://www.linkedin.com/company/1864/" TargetMode="External"/><Relationship Id="rId97" Type="http://schemas.openxmlformats.org/officeDocument/2006/relationships/hyperlink" Target="https://www.linkedin.com/in/vijayaraman-subramanian-7346a6/" TargetMode="External"/><Relationship Id="rId96" Type="http://schemas.openxmlformats.org/officeDocument/2006/relationships/hyperlink" Target="https://www.linkedin.com/company/98085562/" TargetMode="External"/><Relationship Id="rId11" Type="http://schemas.openxmlformats.org/officeDocument/2006/relationships/hyperlink" Target="https://www.linkedin.com/in/yadhukishorenandikolla/" TargetMode="External"/><Relationship Id="rId99" Type="http://schemas.openxmlformats.org/officeDocument/2006/relationships/hyperlink" Target="https://www.linkedin.com/company/1075/" TargetMode="External"/><Relationship Id="rId10" Type="http://schemas.openxmlformats.org/officeDocument/2006/relationships/hyperlink" Target="https://www.linkedin.com/in/mrinalduggal/" TargetMode="External"/><Relationship Id="rId98" Type="http://schemas.openxmlformats.org/officeDocument/2006/relationships/hyperlink" Target="https://www.linkedin.com/company/2652175/" TargetMode="External"/><Relationship Id="rId13" Type="http://schemas.openxmlformats.org/officeDocument/2006/relationships/hyperlink" Target="https://www.linkedin.com/in/arvind-chittora-6398661/" TargetMode="External"/><Relationship Id="rId12" Type="http://schemas.openxmlformats.org/officeDocument/2006/relationships/hyperlink" Target="https://www.linkedin.com/in/rahulrajupalepu/" TargetMode="External"/><Relationship Id="rId91" Type="http://schemas.openxmlformats.org/officeDocument/2006/relationships/hyperlink" Target="https://www.linkedin.com/search/results/people/?keywords=Anant%20Anand%20Evernorth" TargetMode="External"/><Relationship Id="rId90" Type="http://schemas.openxmlformats.org/officeDocument/2006/relationships/hyperlink" Target="https://www.linkedin.com/search/results/people/?keywords=Jitendra%20Putcha" TargetMode="External"/><Relationship Id="rId93" Type="http://schemas.openxmlformats.org/officeDocument/2006/relationships/hyperlink" Target="https://www.linkedin.com/search/results/people/?keywords=Sangeetha%20Yanamandra%20OpenText" TargetMode="External"/><Relationship Id="rId92" Type="http://schemas.openxmlformats.org/officeDocument/2006/relationships/hyperlink" Target="https://www.linkedin.com/search/results/people/?keywords=Smriti%20Mathur%20Pegasystems" TargetMode="External"/><Relationship Id="rId118" Type="http://schemas.openxmlformats.org/officeDocument/2006/relationships/hyperlink" Target="https://www.linkedin.com/in/rmangaraju/" TargetMode="External"/><Relationship Id="rId117" Type="http://schemas.openxmlformats.org/officeDocument/2006/relationships/hyperlink" Target="https://www.linkedin.com/in/pavan-deevi/" TargetMode="External"/><Relationship Id="rId116" Type="http://schemas.openxmlformats.org/officeDocument/2006/relationships/hyperlink" Target="https://www.linkedin.com/in/thammiraju/" TargetMode="External"/><Relationship Id="rId115" Type="http://schemas.openxmlformats.org/officeDocument/2006/relationships/hyperlink" Target="https://www.linkedin.com/in/nanda-k-lakkaraju-31b246a/" TargetMode="External"/><Relationship Id="rId119" Type="http://schemas.openxmlformats.org/officeDocument/2006/relationships/hyperlink" Target="https://www.linkedin.com/in/avinashsamrit/" TargetMode="External"/><Relationship Id="rId15" Type="http://schemas.openxmlformats.org/officeDocument/2006/relationships/hyperlink" Target="https://www.linkedin.com/search/results/people/?keywords=Ganpat%20Anchaliya" TargetMode="External"/><Relationship Id="rId110" Type="http://schemas.openxmlformats.org/officeDocument/2006/relationships/hyperlink" Target="https://www.linkedin.com/in/sudhakar-reddy-gali/" TargetMode="External"/><Relationship Id="rId14" Type="http://schemas.openxmlformats.org/officeDocument/2006/relationships/hyperlink" Target="https://www.linkedin.com/search/results/people/?keywords=Gaurav%20Mathur" TargetMode="External"/><Relationship Id="rId17" Type="http://schemas.openxmlformats.org/officeDocument/2006/relationships/hyperlink" Target="https://www.linkedin.com/search/results/people/?keywords=Jaideep%20Agarwal" TargetMode="External"/><Relationship Id="rId16" Type="http://schemas.openxmlformats.org/officeDocument/2006/relationships/hyperlink" Target="https://www.linkedin.com/search/results/people/?keywords=Smitha%20Hemmigae" TargetMode="External"/><Relationship Id="rId19" Type="http://schemas.openxmlformats.org/officeDocument/2006/relationships/hyperlink" Target="https://www.linkedin.com/search/results/people/?keywords=Sunil%20Ghiya" TargetMode="External"/><Relationship Id="rId114" Type="http://schemas.openxmlformats.org/officeDocument/2006/relationships/hyperlink" Target="https://www.linkedin.com/in/maneesh-sehagal-119a4a2/" TargetMode="External"/><Relationship Id="rId18" Type="http://schemas.openxmlformats.org/officeDocument/2006/relationships/hyperlink" Target="https://www.linkedin.com/search/results/people/?keywords=Ashok%20Chawla" TargetMode="External"/><Relationship Id="rId113" Type="http://schemas.openxmlformats.org/officeDocument/2006/relationships/hyperlink" Target="https://www.linkedin.com/in/thammiraju/" TargetMode="External"/><Relationship Id="rId112" Type="http://schemas.openxmlformats.org/officeDocument/2006/relationships/hyperlink" Target="https://www.linkedin.com/in/maneesh-sehagal-119a4a2/" TargetMode="External"/><Relationship Id="rId111" Type="http://schemas.openxmlformats.org/officeDocument/2006/relationships/hyperlink" Target="https://www.linkedin.com/in/josesunil/" TargetMode="External"/><Relationship Id="rId84" Type="http://schemas.openxmlformats.org/officeDocument/2006/relationships/hyperlink" Target="https://www.linkedin.com/search/results/people/?keywords=Lalit%20Ahuja" TargetMode="External"/><Relationship Id="rId83" Type="http://schemas.openxmlformats.org/officeDocument/2006/relationships/hyperlink" Target="https://www.linkedin.com/search/results/people/?keywords=Bob%20Philips" TargetMode="External"/><Relationship Id="rId86" Type="http://schemas.openxmlformats.org/officeDocument/2006/relationships/hyperlink" Target="https://www.linkedin.com/search/results/people/?keywords=Durga%20Prakash%20McDonalds" TargetMode="External"/><Relationship Id="rId85" Type="http://schemas.openxmlformats.org/officeDocument/2006/relationships/hyperlink" Target="https://www.linkedin.com/search/results/people/?keywords=Rajesh%20Varrier%20Cognizant" TargetMode="External"/><Relationship Id="rId88" Type="http://schemas.openxmlformats.org/officeDocument/2006/relationships/hyperlink" Target="https://www.linkedin.com/search/results/people/?keywords=Rajesh%20Kumar%20Ojha" TargetMode="External"/><Relationship Id="rId150" Type="http://schemas.openxmlformats.org/officeDocument/2006/relationships/hyperlink" Target="https://www.linkedin.com/in/vijaya-kadiyala/" TargetMode="External"/><Relationship Id="rId87" Type="http://schemas.openxmlformats.org/officeDocument/2006/relationships/hyperlink" Target="https://www.linkedin.com/search/results/people/?keywords=Sailaja%20Josyula" TargetMode="External"/><Relationship Id="rId89" Type="http://schemas.openxmlformats.org/officeDocument/2006/relationships/hyperlink" Target="https://www.linkedin.com/search/results/people/?keywords=Kishore%20Kumar%20Prohance" TargetMode="External"/><Relationship Id="rId80" Type="http://schemas.openxmlformats.org/officeDocument/2006/relationships/hyperlink" Target="https://www.linkedin.com/search/results/people/?keywords=Vidya%20Munirathnam" TargetMode="External"/><Relationship Id="rId82" Type="http://schemas.openxmlformats.org/officeDocument/2006/relationships/hyperlink" Target="https://www.linkedin.com/search/results/people/?keywords=Anurag%20Bhatnagar" TargetMode="External"/><Relationship Id="rId81" Type="http://schemas.openxmlformats.org/officeDocument/2006/relationships/hyperlink" Target="https://www.linkedin.com/search/results/people/?keywords=Sundar%20KV%20ADP" TargetMode="External"/><Relationship Id="rId1" Type="http://schemas.openxmlformats.org/officeDocument/2006/relationships/hyperlink" Target="https://www.linkedin.com/in/avinashsamrit/" TargetMode="External"/><Relationship Id="rId2" Type="http://schemas.openxmlformats.org/officeDocument/2006/relationships/hyperlink" Target="https://www.linkedin.com/in/sanjeevsahgal/" TargetMode="External"/><Relationship Id="rId3" Type="http://schemas.openxmlformats.org/officeDocument/2006/relationships/hyperlink" Target="https://www.linkedin.com/search/results/people/?keywords=Sandeep%20Kumar%20Jain" TargetMode="External"/><Relationship Id="rId149" Type="http://schemas.openxmlformats.org/officeDocument/2006/relationships/hyperlink" Target="https://www.linkedin.com/in/valli-bollavaram/" TargetMode="External"/><Relationship Id="rId4" Type="http://schemas.openxmlformats.org/officeDocument/2006/relationships/hyperlink" Target="https://www.linkedin.com/in/selinadavid/?originalSubdomain=in" TargetMode="External"/><Relationship Id="rId148" Type="http://schemas.openxmlformats.org/officeDocument/2006/relationships/hyperlink" Target="https://www.linkedin.com/in/sriram-cherukuvada-19b85219/" TargetMode="External"/><Relationship Id="rId9" Type="http://schemas.openxmlformats.org/officeDocument/2006/relationships/hyperlink" Target="https://www.linkedin.com/in/deepakvis/" TargetMode="External"/><Relationship Id="rId143" Type="http://schemas.openxmlformats.org/officeDocument/2006/relationships/hyperlink" Target="https://www.linkedin.com/in/arunprakashasokan/" TargetMode="External"/><Relationship Id="rId142" Type="http://schemas.openxmlformats.org/officeDocument/2006/relationships/hyperlink" Target="https://www.linkedin.com/in/karthikd/" TargetMode="External"/><Relationship Id="rId141" Type="http://schemas.openxmlformats.org/officeDocument/2006/relationships/hyperlink" Target="https://www.linkedin.com/in/harsh-chadha-86996410/" TargetMode="External"/><Relationship Id="rId140" Type="http://schemas.openxmlformats.org/officeDocument/2006/relationships/hyperlink" Target="https://www.linkedin.com/in/katheragandla/" TargetMode="External"/><Relationship Id="rId5" Type="http://schemas.openxmlformats.org/officeDocument/2006/relationships/hyperlink" Target="https://www.linkedin.com/in/tkapil/?originalSubdomain=in" TargetMode="External"/><Relationship Id="rId147" Type="http://schemas.openxmlformats.org/officeDocument/2006/relationships/hyperlink" Target="https://www.linkedin.com/in/sriram-cherukuvada-19b85219/" TargetMode="External"/><Relationship Id="rId6" Type="http://schemas.openxmlformats.org/officeDocument/2006/relationships/hyperlink" Target="https://www.linkedin.com/search/results/people/?keywords=Jayesh%20Ranjan%20IAS" TargetMode="External"/><Relationship Id="rId146" Type="http://schemas.openxmlformats.org/officeDocument/2006/relationships/hyperlink" Target="https://www.linkedin.com/in/gniranjan/" TargetMode="External"/><Relationship Id="rId7" Type="http://schemas.openxmlformats.org/officeDocument/2006/relationships/hyperlink" Target="https://www.linkedin.com/search/results/people/?keywords=Navaneet%20Mishra" TargetMode="External"/><Relationship Id="rId145" Type="http://schemas.openxmlformats.org/officeDocument/2006/relationships/hyperlink" Target="https://www.linkedin.com/company/64694906/" TargetMode="External"/><Relationship Id="rId8" Type="http://schemas.openxmlformats.org/officeDocument/2006/relationships/hyperlink" Target="https://www.linkedin.com/search/results/people/?keywords=Anil%20Chalasani" TargetMode="External"/><Relationship Id="rId144" Type="http://schemas.openxmlformats.org/officeDocument/2006/relationships/hyperlink" Target="https://www.linkedin.com/in/mayurkapur/" TargetMode="External"/><Relationship Id="rId73" Type="http://schemas.openxmlformats.org/officeDocument/2006/relationships/hyperlink" Target="https://www.linkedin.com/search/results/people/?keywords=Sanjeev%20Ravindranathan" TargetMode="External"/><Relationship Id="rId72" Type="http://schemas.openxmlformats.org/officeDocument/2006/relationships/hyperlink" Target="https://www.linkedin.com/search/results/people/?keywords=Monica%20S%20Pirgal" TargetMode="External"/><Relationship Id="rId75" Type="http://schemas.openxmlformats.org/officeDocument/2006/relationships/hyperlink" Target="https://www.linkedin.com/search/results/people/?keywords=Gitanjali%20Singh" TargetMode="External"/><Relationship Id="rId74" Type="http://schemas.openxmlformats.org/officeDocument/2006/relationships/hyperlink" Target="https://www.linkedin.com/search/results/people/?keywords=Sriram%20Gopalswamy" TargetMode="External"/><Relationship Id="rId77" Type="http://schemas.openxmlformats.org/officeDocument/2006/relationships/hyperlink" Target="https://www.linkedin.com/search/results/people/?keywords=Pradeep%20Deshpande%20CGI" TargetMode="External"/><Relationship Id="rId76" Type="http://schemas.openxmlformats.org/officeDocument/2006/relationships/hyperlink" Target="https://www.linkedin.com/search/results/people/?keywords=Daryl%20Pinto%20Microsoft" TargetMode="External"/><Relationship Id="rId79" Type="http://schemas.openxmlformats.org/officeDocument/2006/relationships/hyperlink" Target="https://www.linkedin.com/search/results/people/?keywords=Ekhlaque%20Bari" TargetMode="External"/><Relationship Id="rId78" Type="http://schemas.openxmlformats.org/officeDocument/2006/relationships/hyperlink" Target="https://www.linkedin.com/search/results/people/?keywords=Piyush%20Peshwani" TargetMode="External"/><Relationship Id="rId71" Type="http://schemas.openxmlformats.org/officeDocument/2006/relationships/hyperlink" Target="https://www.linkedin.com/search/results/people/?keywords=KT%20Nambi%20Capgemini" TargetMode="External"/><Relationship Id="rId70" Type="http://schemas.openxmlformats.org/officeDocument/2006/relationships/hyperlink" Target="https://www.linkedin.com/search/results/people/?keywords=Siva%20Prakash%20GoodYear" TargetMode="External"/><Relationship Id="rId139" Type="http://schemas.openxmlformats.org/officeDocument/2006/relationships/hyperlink" Target="https://www.linkedin.com/in/deshantkaila/" TargetMode="External"/><Relationship Id="rId138" Type="http://schemas.openxmlformats.org/officeDocument/2006/relationships/hyperlink" Target="https://www.linkedin.com/in/sairam-nair/" TargetMode="External"/><Relationship Id="rId137" Type="http://schemas.openxmlformats.org/officeDocument/2006/relationships/hyperlink" Target="https://www.linkedin.com/in/biju-davis-5710781/" TargetMode="External"/><Relationship Id="rId132" Type="http://schemas.openxmlformats.org/officeDocument/2006/relationships/hyperlink" Target="https://www.linkedin.com/in/subbaperepa/" TargetMode="External"/><Relationship Id="rId131" Type="http://schemas.openxmlformats.org/officeDocument/2006/relationships/hyperlink" Target="https://www.linkedin.com/in/kishore-veeraghattam-18008150/" TargetMode="External"/><Relationship Id="rId130" Type="http://schemas.openxmlformats.org/officeDocument/2006/relationships/hyperlink" Target="https://www.linkedin.com/in/dr-girish-kapur-0870a634/" TargetMode="External"/><Relationship Id="rId136" Type="http://schemas.openxmlformats.org/officeDocument/2006/relationships/hyperlink" Target="https://www.linkedin.com/in/atul-kapoor-70a13222/" TargetMode="External"/><Relationship Id="rId135" Type="http://schemas.openxmlformats.org/officeDocument/2006/relationships/hyperlink" Target="https://www.linkedin.com/in/indranil-chatterjee-1245727/" TargetMode="External"/><Relationship Id="rId134" Type="http://schemas.openxmlformats.org/officeDocument/2006/relationships/hyperlink" Target="https://www.linkedin.com/in/ranga-pothula-1b36042/" TargetMode="External"/><Relationship Id="rId133" Type="http://schemas.openxmlformats.org/officeDocument/2006/relationships/hyperlink" Target="https://www.linkedin.com/in/rupesshgoel/" TargetMode="External"/><Relationship Id="rId62" Type="http://schemas.openxmlformats.org/officeDocument/2006/relationships/hyperlink" Target="https://www.linkedin.com/search/results/people/?keywords=Ajay%20Gupta%20Skills%20Cafe" TargetMode="External"/><Relationship Id="rId61" Type="http://schemas.openxmlformats.org/officeDocument/2006/relationships/hyperlink" Target="https://www.linkedin.com/in/neha-tarnacha-tewari-aab9718/" TargetMode="External"/><Relationship Id="rId64" Type="http://schemas.openxmlformats.org/officeDocument/2006/relationships/hyperlink" Target="https://www.linkedin.com/search/results/people/?keywords=Nousheen%20Khan" TargetMode="External"/><Relationship Id="rId63" Type="http://schemas.openxmlformats.org/officeDocument/2006/relationships/hyperlink" Target="https://www.linkedin.com/search/results/people/?keywords=Santosh%20D'Souza%20LinkedIn" TargetMode="External"/><Relationship Id="rId66" Type="http://schemas.openxmlformats.org/officeDocument/2006/relationships/hyperlink" Target="https://www.linkedin.com/search/results/people/?keywords=Tanmaya%20Jain" TargetMode="External"/><Relationship Id="rId65" Type="http://schemas.openxmlformats.org/officeDocument/2006/relationships/hyperlink" Target="https://www.linkedin.com/search/results/people/?keywords=Samatha%20Prasad%20Broadridge" TargetMode="External"/><Relationship Id="rId68" Type="http://schemas.openxmlformats.org/officeDocument/2006/relationships/hyperlink" Target="https://www.linkedin.com/search/results/people/?keywords=Anuradha%20Kumar%20AstraZeneca" TargetMode="External"/><Relationship Id="rId67" Type="http://schemas.openxmlformats.org/officeDocument/2006/relationships/hyperlink" Target="https://www.linkedin.com/search/results/people/?keywords=Kameshwari%20Rao" TargetMode="External"/><Relationship Id="rId60" Type="http://schemas.openxmlformats.org/officeDocument/2006/relationships/hyperlink" Target="https://www.linkedin.com/search/results/people/?keywords=Gunjandeep%20Kaur" TargetMode="External"/><Relationship Id="rId69" Type="http://schemas.openxmlformats.org/officeDocument/2006/relationships/hyperlink" Target="https://www.linkedin.com/search/results/people/?keywords=Prabhul%20R%20Pearson" TargetMode="External"/><Relationship Id="rId51" Type="http://schemas.openxmlformats.org/officeDocument/2006/relationships/hyperlink" Target="https://www.linkedin.com/search/results/people/?keywords=Paranth%20Thiruvengadam%20Atlassian" TargetMode="External"/><Relationship Id="rId50" Type="http://schemas.openxmlformats.org/officeDocument/2006/relationships/hyperlink" Target="https://www.linkedin.com/search/results/people/?keywords=Praveen%20Maddali%20S%26P%20Global" TargetMode="External"/><Relationship Id="rId53" Type="http://schemas.openxmlformats.org/officeDocument/2006/relationships/hyperlink" Target="https://www.linkedin.com/search/results/people/?keywords=Sirisha%20Voruganti" TargetMode="External"/><Relationship Id="rId52" Type="http://schemas.openxmlformats.org/officeDocument/2006/relationships/hyperlink" Target="https://www.linkedin.com/search/results/people/?keywords=Raja%20Jamalamadaka%20Roche" TargetMode="External"/><Relationship Id="rId55" Type="http://schemas.openxmlformats.org/officeDocument/2006/relationships/hyperlink" Target="https://www.linkedin.com/search/results/people/?keywords=Swethnisha%20Panicker%20Merck" TargetMode="External"/><Relationship Id="rId54" Type="http://schemas.openxmlformats.org/officeDocument/2006/relationships/hyperlink" Target="https://www.linkedin.com/search/results/people/?keywords=Debasis%20Panda%20TransUnion" TargetMode="External"/><Relationship Id="rId57" Type="http://schemas.openxmlformats.org/officeDocument/2006/relationships/hyperlink" Target="https://www.linkedin.com/in/vicky-hans-2831314/" TargetMode="External"/><Relationship Id="rId56" Type="http://schemas.openxmlformats.org/officeDocument/2006/relationships/hyperlink" Target="https://www.linkedin.com/search/results/people/?keywords=Justin%20Edwards%20XPO" TargetMode="External"/><Relationship Id="rId59" Type="http://schemas.openxmlformats.org/officeDocument/2006/relationships/hyperlink" Target="https://www.linkedin.com/search/results/people/?keywords=Brinda%20Batavia" TargetMode="External"/><Relationship Id="rId58" Type="http://schemas.openxmlformats.org/officeDocument/2006/relationships/hyperlink" Target="https://www.linkedin.com/search/results/people/?keywords=Jaspreet%20Bindra" TargetMode="External"/><Relationship Id="rId15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</cols>
  <sheetData>
    <row r="1">
      <c r="A1" s="1" t="s">
        <v>0</v>
      </c>
      <c r="B1" s="1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</row>
    <row r="3">
      <c r="A3" s="3" t="s">
        <v>8</v>
      </c>
    </row>
    <row r="4">
      <c r="A4" s="3" t="s">
        <v>9</v>
      </c>
    </row>
    <row r="5">
      <c r="A5" s="3" t="s">
        <v>10</v>
      </c>
    </row>
    <row r="6">
      <c r="A6" s="3" t="s">
        <v>11</v>
      </c>
    </row>
    <row r="7">
      <c r="A7" s="3" t="s">
        <v>13</v>
      </c>
    </row>
    <row r="8">
      <c r="A8" s="3" t="s">
        <v>14</v>
      </c>
    </row>
    <row r="9">
      <c r="A9" s="3" t="s">
        <v>15</v>
      </c>
    </row>
    <row r="10">
      <c r="A10" s="3" t="s">
        <v>16</v>
      </c>
    </row>
    <row r="11">
      <c r="A11" s="3" t="s">
        <v>17</v>
      </c>
    </row>
    <row r="12">
      <c r="A12" s="3" t="s">
        <v>19</v>
      </c>
    </row>
    <row r="13">
      <c r="A13" s="3" t="s">
        <v>21</v>
      </c>
    </row>
    <row r="14">
      <c r="A14" s="3" t="s">
        <v>23</v>
      </c>
    </row>
    <row r="15">
      <c r="A15" s="3" t="s">
        <v>24</v>
      </c>
    </row>
    <row r="16">
      <c r="A16" s="3" t="s">
        <v>25</v>
      </c>
    </row>
    <row r="17">
      <c r="A17" s="3" t="s">
        <v>27</v>
      </c>
    </row>
    <row r="18">
      <c r="A18" s="3" t="s">
        <v>28</v>
      </c>
    </row>
    <row r="19">
      <c r="A19" s="3" t="s">
        <v>29</v>
      </c>
    </row>
    <row r="20">
      <c r="A20" s="3" t="s">
        <v>30</v>
      </c>
    </row>
    <row r="21">
      <c r="A21" s="3" t="s">
        <v>31</v>
      </c>
    </row>
    <row r="22">
      <c r="A22" s="3" t="s">
        <v>32</v>
      </c>
    </row>
    <row r="23">
      <c r="A23" s="3" t="s">
        <v>33</v>
      </c>
    </row>
    <row r="24">
      <c r="A24" s="3" t="s">
        <v>34</v>
      </c>
    </row>
    <row r="25">
      <c r="A25" s="3" t="s">
        <v>35</v>
      </c>
    </row>
    <row r="26">
      <c r="A26" s="3" t="s">
        <v>36</v>
      </c>
    </row>
    <row r="27">
      <c r="A27" s="3" t="s">
        <v>37</v>
      </c>
    </row>
    <row r="28">
      <c r="A28" s="3" t="s">
        <v>38</v>
      </c>
    </row>
    <row r="29">
      <c r="A29" s="3" t="s">
        <v>39</v>
      </c>
    </row>
    <row r="30">
      <c r="A30" s="3" t="s">
        <v>40</v>
      </c>
    </row>
    <row r="31">
      <c r="A31" s="3" t="s">
        <v>41</v>
      </c>
    </row>
    <row r="32">
      <c r="A32" s="3" t="s">
        <v>42</v>
      </c>
    </row>
    <row r="33">
      <c r="A33" s="3" t="s">
        <v>43</v>
      </c>
    </row>
    <row r="34">
      <c r="A34" s="3" t="s">
        <v>44</v>
      </c>
    </row>
    <row r="35">
      <c r="A35" s="3" t="s">
        <v>45</v>
      </c>
    </row>
    <row r="36">
      <c r="A36" s="3" t="s">
        <v>46</v>
      </c>
    </row>
    <row r="37">
      <c r="A37" s="3" t="s">
        <v>47</v>
      </c>
    </row>
    <row r="38">
      <c r="A38" s="3" t="s">
        <v>48</v>
      </c>
    </row>
    <row r="39">
      <c r="A39" s="3" t="s">
        <v>49</v>
      </c>
    </row>
    <row r="40">
      <c r="A40" s="3" t="s">
        <v>50</v>
      </c>
    </row>
    <row r="41">
      <c r="A41" s="3" t="s">
        <v>51</v>
      </c>
    </row>
    <row r="42">
      <c r="A42" s="3" t="s">
        <v>52</v>
      </c>
    </row>
    <row r="43">
      <c r="A43" s="3" t="s">
        <v>53</v>
      </c>
    </row>
    <row r="44">
      <c r="A44" s="3" t="s">
        <v>54</v>
      </c>
    </row>
    <row r="45">
      <c r="A45" s="3" t="s">
        <v>55</v>
      </c>
    </row>
    <row r="46">
      <c r="A46" s="3" t="s">
        <v>56</v>
      </c>
    </row>
    <row r="47">
      <c r="A47" s="3" t="s">
        <v>57</v>
      </c>
    </row>
    <row r="48">
      <c r="A48" s="3" t="s">
        <v>58</v>
      </c>
    </row>
    <row r="49">
      <c r="A49" s="3" t="s">
        <v>59</v>
      </c>
    </row>
    <row r="50">
      <c r="A50" s="3" t="s">
        <v>60</v>
      </c>
    </row>
    <row r="51">
      <c r="A51" s="3" t="s">
        <v>61</v>
      </c>
    </row>
    <row r="52">
      <c r="A52" s="3" t="s">
        <v>62</v>
      </c>
    </row>
    <row r="53">
      <c r="A53" s="3" t="s">
        <v>63</v>
      </c>
    </row>
    <row r="54">
      <c r="A54" s="3" t="s">
        <v>64</v>
      </c>
    </row>
    <row r="55">
      <c r="A55" s="3" t="s">
        <v>66</v>
      </c>
    </row>
    <row r="56">
      <c r="A56" s="3" t="s">
        <v>68</v>
      </c>
    </row>
    <row r="57">
      <c r="A57" s="3" t="s">
        <v>71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5.13"/>
    <col customWidth="1" min="3" max="3" width="33.88"/>
    <col customWidth="1" min="4" max="4" width="22.63"/>
    <col customWidth="1" min="5" max="5" width="16.25"/>
    <col customWidth="1" min="6" max="6" width="75.38"/>
  </cols>
  <sheetData>
    <row r="1">
      <c r="A1" s="1" t="s">
        <v>1</v>
      </c>
      <c r="B1" s="1" t="s">
        <v>3</v>
      </c>
      <c r="C1" s="1" t="s">
        <v>4</v>
      </c>
      <c r="D1" s="1" t="s">
        <v>0</v>
      </c>
      <c r="E1" s="1" t="s">
        <v>5</v>
      </c>
      <c r="F1" s="1" t="s">
        <v>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12</v>
      </c>
      <c r="B2" s="5" t="s">
        <v>18</v>
      </c>
      <c r="C2" s="6" t="s">
        <v>20</v>
      </c>
      <c r="D2" s="4" t="s">
        <v>22</v>
      </c>
      <c r="E2" s="7">
        <v>9.19966507001E11</v>
      </c>
      <c r="F2" s="8" t="s">
        <v>26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4" t="s">
        <v>65</v>
      </c>
      <c r="B3" s="5" t="s">
        <v>67</v>
      </c>
      <c r="C3" s="10" t="s">
        <v>69</v>
      </c>
      <c r="D3" s="4" t="s">
        <v>70</v>
      </c>
      <c r="E3" s="7">
        <f>17032882817</f>
        <v>17032882817</v>
      </c>
      <c r="F3" s="11" t="s">
        <v>72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4" t="s">
        <v>73</v>
      </c>
      <c r="B4" s="5"/>
      <c r="C4" s="6" t="s">
        <v>74</v>
      </c>
      <c r="D4" s="12" t="s">
        <v>75</v>
      </c>
      <c r="E4" s="5"/>
      <c r="F4" s="8" t="s">
        <v>76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4" t="s">
        <v>77</v>
      </c>
      <c r="B5" s="5" t="s">
        <v>78</v>
      </c>
      <c r="C5" s="13" t="s">
        <v>79</v>
      </c>
      <c r="D5" s="12" t="s">
        <v>80</v>
      </c>
      <c r="E5" s="7">
        <f>914030233000</f>
        <v>914030233000</v>
      </c>
      <c r="F5" s="8" t="s">
        <v>81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4" t="s">
        <v>82</v>
      </c>
      <c r="B6" s="5" t="s">
        <v>83</v>
      </c>
      <c r="C6" s="10" t="s">
        <v>84</v>
      </c>
      <c r="D6" s="4" t="s">
        <v>85</v>
      </c>
      <c r="E6" s="7">
        <f>919866884886</f>
        <v>919866884886</v>
      </c>
      <c r="F6" s="8" t="s">
        <v>86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4" t="s">
        <v>87</v>
      </c>
      <c r="B7" s="5"/>
      <c r="C7" s="6" t="s">
        <v>88</v>
      </c>
      <c r="D7" s="12" t="s">
        <v>89</v>
      </c>
      <c r="E7" s="5"/>
      <c r="F7" s="8" t="s">
        <v>90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4" t="s">
        <v>91</v>
      </c>
      <c r="B8" s="5" t="s">
        <v>92</v>
      </c>
      <c r="C8" s="6" t="s">
        <v>93</v>
      </c>
      <c r="D8" s="4" t="s">
        <v>94</v>
      </c>
      <c r="E8" s="7">
        <f>919704022600</f>
        <v>919704022600</v>
      </c>
      <c r="F8" s="8" t="s">
        <v>95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4" t="s">
        <v>96</v>
      </c>
      <c r="B9" s="5" t="s">
        <v>97</v>
      </c>
      <c r="C9" s="6" t="s">
        <v>98</v>
      </c>
      <c r="D9" s="12" t="s">
        <v>99</v>
      </c>
      <c r="E9" s="7">
        <v>9.198663533E11</v>
      </c>
      <c r="F9" s="8" t="s">
        <v>100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4" t="s">
        <v>101</v>
      </c>
      <c r="B10" s="5"/>
      <c r="C10" s="6" t="s">
        <v>102</v>
      </c>
      <c r="D10" s="12" t="s">
        <v>103</v>
      </c>
      <c r="E10" s="5"/>
      <c r="F10" s="8" t="s">
        <v>104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4" t="s">
        <v>105</v>
      </c>
      <c r="B11" s="5" t="s">
        <v>106</v>
      </c>
      <c r="C11" s="6" t="s">
        <v>107</v>
      </c>
      <c r="D11" s="12" t="s">
        <v>108</v>
      </c>
      <c r="E11" s="7">
        <f>17855717233</f>
        <v>17855717233</v>
      </c>
      <c r="F11" s="8" t="s">
        <v>109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4" t="s">
        <v>110</v>
      </c>
      <c r="B12" s="5" t="s">
        <v>111</v>
      </c>
      <c r="C12" s="6" t="s">
        <v>112</v>
      </c>
      <c r="D12" s="12" t="s">
        <v>113</v>
      </c>
      <c r="E12" s="7">
        <v>9.1990120088E11</v>
      </c>
      <c r="F12" s="8" t="s">
        <v>114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4" t="s">
        <v>115</v>
      </c>
      <c r="B13" s="5" t="s">
        <v>116</v>
      </c>
      <c r="C13" s="10" t="s">
        <v>117</v>
      </c>
      <c r="D13" s="4" t="s">
        <v>118</v>
      </c>
      <c r="E13" s="7">
        <v>9.1994041836E11</v>
      </c>
      <c r="F13" s="8" t="s">
        <v>119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4" t="s">
        <v>120</v>
      </c>
      <c r="B14" s="5"/>
      <c r="C14" s="6" t="s">
        <v>121</v>
      </c>
      <c r="D14" s="12" t="s">
        <v>122</v>
      </c>
      <c r="E14" s="5" t="s">
        <v>123</v>
      </c>
      <c r="F14" s="8" t="s">
        <v>124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4" t="s">
        <v>125</v>
      </c>
      <c r="B15" s="5"/>
      <c r="C15" s="6" t="s">
        <v>126</v>
      </c>
      <c r="D15" s="4" t="s">
        <v>127</v>
      </c>
      <c r="E15" s="5"/>
      <c r="F15" s="8" t="s">
        <v>128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4" t="s">
        <v>129</v>
      </c>
      <c r="B16" s="5" t="s">
        <v>130</v>
      </c>
      <c r="C16" s="6" t="s">
        <v>131</v>
      </c>
      <c r="D16" s="12" t="s">
        <v>132</v>
      </c>
      <c r="E16" s="7">
        <f>919052849494</f>
        <v>919052849494</v>
      </c>
      <c r="F16" s="8" t="s">
        <v>133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4" t="s">
        <v>134</v>
      </c>
      <c r="B17" s="5"/>
      <c r="C17" s="6" t="s">
        <v>98</v>
      </c>
      <c r="D17" s="4" t="s">
        <v>135</v>
      </c>
      <c r="E17" s="5"/>
      <c r="F17" s="8" t="s">
        <v>136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4" t="s">
        <v>137</v>
      </c>
      <c r="B18" s="5" t="s">
        <v>138</v>
      </c>
      <c r="C18" s="6" t="s">
        <v>139</v>
      </c>
      <c r="D18" s="4" t="s">
        <v>59</v>
      </c>
      <c r="E18" s="5" t="s">
        <v>140</v>
      </c>
      <c r="F18" s="8" t="s">
        <v>141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4" t="s">
        <v>142</v>
      </c>
      <c r="B19" s="5"/>
      <c r="C19" s="6" t="s">
        <v>143</v>
      </c>
      <c r="D19" s="12" t="s">
        <v>144</v>
      </c>
      <c r="E19" s="5"/>
      <c r="F19" s="8" t="s">
        <v>145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2" t="s">
        <v>146</v>
      </c>
      <c r="B20" s="5"/>
      <c r="C20" s="6" t="s">
        <v>147</v>
      </c>
      <c r="D20" s="12" t="s">
        <v>148</v>
      </c>
      <c r="E20" s="5"/>
      <c r="F20" s="8" t="s">
        <v>149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4" t="s">
        <v>150</v>
      </c>
      <c r="B21" s="5"/>
      <c r="C21" s="10" t="s">
        <v>151</v>
      </c>
      <c r="D21" s="12" t="s">
        <v>152</v>
      </c>
      <c r="E21" s="5"/>
      <c r="F21" s="8" t="s">
        <v>153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4" t="s">
        <v>154</v>
      </c>
      <c r="B22" s="5"/>
      <c r="C22" s="6" t="s">
        <v>155</v>
      </c>
      <c r="D22" s="4" t="s">
        <v>156</v>
      </c>
      <c r="E22" s="5"/>
      <c r="F22" s="8" t="s">
        <v>157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2" t="s">
        <v>158</v>
      </c>
      <c r="B23" s="5"/>
      <c r="C23" s="6" t="s">
        <v>159</v>
      </c>
      <c r="D23" s="4" t="s">
        <v>160</v>
      </c>
      <c r="E23" s="5"/>
      <c r="F23" s="8" t="s">
        <v>161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4" t="s">
        <v>162</v>
      </c>
      <c r="B24" s="5"/>
      <c r="C24" s="6" t="s">
        <v>163</v>
      </c>
      <c r="D24" s="4" t="s">
        <v>164</v>
      </c>
      <c r="E24" s="5"/>
      <c r="F24" s="8" t="s">
        <v>165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4" t="s">
        <v>166</v>
      </c>
      <c r="B25" s="5"/>
      <c r="C25" s="6" t="s">
        <v>167</v>
      </c>
      <c r="D25" s="12" t="s">
        <v>168</v>
      </c>
      <c r="E25" s="5"/>
      <c r="F25" s="8" t="s">
        <v>169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2" t="s">
        <v>170</v>
      </c>
      <c r="B26" s="5"/>
      <c r="C26" s="6" t="s">
        <v>126</v>
      </c>
      <c r="D26" s="12" t="s">
        <v>171</v>
      </c>
      <c r="E26" s="5"/>
      <c r="F26" s="8" t="s">
        <v>172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2" t="s">
        <v>173</v>
      </c>
      <c r="B27" s="5"/>
      <c r="C27" s="6" t="s">
        <v>174</v>
      </c>
      <c r="D27" s="4" t="s">
        <v>175</v>
      </c>
      <c r="E27" s="5"/>
      <c r="F27" s="8" t="s">
        <v>176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5"/>
      <c r="B28" s="5"/>
      <c r="C28" s="5"/>
      <c r="D28" s="5"/>
      <c r="E28" s="5"/>
      <c r="F28" s="5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2" t="s">
        <v>177</v>
      </c>
      <c r="B29" s="5"/>
      <c r="C29" s="6" t="s">
        <v>178</v>
      </c>
      <c r="D29" s="4" t="s">
        <v>179</v>
      </c>
      <c r="E29" s="5"/>
      <c r="F29" s="8" t="s">
        <v>180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2" t="s">
        <v>181</v>
      </c>
      <c r="B30" s="5"/>
      <c r="C30" s="6" t="s">
        <v>182</v>
      </c>
      <c r="D30" s="4" t="s">
        <v>183</v>
      </c>
      <c r="E30" s="5"/>
      <c r="F30" s="8" t="s">
        <v>184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5" t="s">
        <v>185</v>
      </c>
      <c r="B31" s="5" t="s">
        <v>186</v>
      </c>
      <c r="C31" s="14" t="s">
        <v>187</v>
      </c>
      <c r="D31" s="5" t="s">
        <v>188</v>
      </c>
      <c r="E31" s="7">
        <f>919885110112</f>
        <v>919885110112</v>
      </c>
      <c r="F31" s="15" t="s">
        <v>189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5" t="s">
        <v>190</v>
      </c>
      <c r="B32" s="5"/>
      <c r="C32" s="14" t="s">
        <v>191</v>
      </c>
      <c r="D32" s="5" t="s">
        <v>192</v>
      </c>
      <c r="E32" s="5"/>
      <c r="F32" s="15" t="s">
        <v>193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5"/>
      <c r="B33" s="5"/>
      <c r="C33" s="5"/>
      <c r="D33" s="5"/>
      <c r="E33" s="5"/>
      <c r="F33" s="5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5" t="s">
        <v>194</v>
      </c>
      <c r="B34" s="5" t="s">
        <v>195</v>
      </c>
      <c r="C34" s="14" t="s">
        <v>196</v>
      </c>
      <c r="D34" s="5" t="s">
        <v>197</v>
      </c>
      <c r="E34" s="5"/>
      <c r="F34" s="15" t="s">
        <v>198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5" t="s">
        <v>199</v>
      </c>
      <c r="B35" s="5"/>
      <c r="C35" s="14" t="s">
        <v>200</v>
      </c>
      <c r="D35" s="5" t="s">
        <v>201</v>
      </c>
      <c r="E35" s="5"/>
      <c r="F35" s="15" t="s">
        <v>202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5" t="s">
        <v>203</v>
      </c>
      <c r="B36" s="5" t="s">
        <v>204</v>
      </c>
      <c r="C36" s="14" t="s">
        <v>205</v>
      </c>
      <c r="D36" s="5" t="s">
        <v>206</v>
      </c>
      <c r="E36" s="7">
        <v>9.17702007777E11</v>
      </c>
      <c r="F36" s="15" t="s">
        <v>207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5" t="s">
        <v>208</v>
      </c>
      <c r="B37" s="5"/>
      <c r="C37" s="14" t="s">
        <v>163</v>
      </c>
      <c r="D37" s="5" t="s">
        <v>209</v>
      </c>
      <c r="E37" s="5"/>
      <c r="F37" s="15" t="s">
        <v>210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5" t="s">
        <v>211</v>
      </c>
      <c r="B38" s="5"/>
      <c r="C38" s="14" t="s">
        <v>212</v>
      </c>
      <c r="D38" s="5" t="s">
        <v>213</v>
      </c>
      <c r="E38" s="5"/>
      <c r="F38" s="15" t="s">
        <v>214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5" t="s">
        <v>215</v>
      </c>
      <c r="B39" s="5"/>
      <c r="C39" s="14" t="s">
        <v>216</v>
      </c>
      <c r="D39" s="5" t="s">
        <v>217</v>
      </c>
      <c r="E39" s="5"/>
      <c r="F39" s="15" t="s">
        <v>218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5" t="s">
        <v>219</v>
      </c>
      <c r="B40" s="5"/>
      <c r="C40" s="14" t="s">
        <v>220</v>
      </c>
      <c r="D40" s="5" t="s">
        <v>221</v>
      </c>
      <c r="E40" s="5"/>
      <c r="F40" s="15" t="s">
        <v>222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5" t="s">
        <v>223</v>
      </c>
      <c r="B41" s="5"/>
      <c r="C41" s="14" t="s">
        <v>224</v>
      </c>
      <c r="D41" s="5" t="s">
        <v>225</v>
      </c>
      <c r="E41" s="5"/>
      <c r="F41" s="15" t="s">
        <v>226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5" t="s">
        <v>227</v>
      </c>
      <c r="B42" s="5"/>
      <c r="C42" s="14" t="s">
        <v>205</v>
      </c>
      <c r="D42" s="5" t="s">
        <v>228</v>
      </c>
      <c r="E42" s="5"/>
      <c r="F42" s="15" t="s">
        <v>229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5" t="s">
        <v>230</v>
      </c>
      <c r="B43" s="5"/>
      <c r="C43" s="14" t="s">
        <v>231</v>
      </c>
      <c r="D43" s="5" t="s">
        <v>232</v>
      </c>
      <c r="E43" s="5"/>
      <c r="F43" s="15" t="s">
        <v>233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5" t="s">
        <v>234</v>
      </c>
      <c r="B44" s="5"/>
      <c r="C44" s="14" t="s">
        <v>235</v>
      </c>
      <c r="D44" s="5" t="s">
        <v>236</v>
      </c>
      <c r="E44" s="5"/>
      <c r="F44" s="15" t="s">
        <v>237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5" t="s">
        <v>238</v>
      </c>
      <c r="B45" s="5"/>
      <c r="C45" s="14" t="s">
        <v>239</v>
      </c>
      <c r="D45" s="5" t="s">
        <v>240</v>
      </c>
      <c r="E45" s="5"/>
      <c r="F45" s="15" t="s">
        <v>241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5" t="s">
        <v>242</v>
      </c>
      <c r="B46" s="5"/>
      <c r="C46" s="14" t="s">
        <v>243</v>
      </c>
      <c r="D46" s="5" t="s">
        <v>244</v>
      </c>
      <c r="E46" s="5"/>
      <c r="F46" s="15" t="s">
        <v>245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5" t="s">
        <v>246</v>
      </c>
      <c r="B47" s="5"/>
      <c r="C47" s="14" t="s">
        <v>247</v>
      </c>
      <c r="D47" s="5" t="s">
        <v>248</v>
      </c>
      <c r="E47" s="5"/>
      <c r="F47" s="15" t="s">
        <v>249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5" t="s">
        <v>250</v>
      </c>
      <c r="B48" s="5"/>
      <c r="C48" s="14" t="s">
        <v>251</v>
      </c>
      <c r="D48" s="5" t="s">
        <v>252</v>
      </c>
      <c r="E48" s="5"/>
      <c r="F48" s="15" t="s">
        <v>253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5" t="s">
        <v>254</v>
      </c>
      <c r="B49" s="5"/>
      <c r="C49" s="14" t="s">
        <v>126</v>
      </c>
      <c r="D49" s="5" t="s">
        <v>255</v>
      </c>
      <c r="E49" s="5"/>
      <c r="F49" s="15" t="s">
        <v>256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5" t="s">
        <v>257</v>
      </c>
      <c r="B50" s="5"/>
      <c r="C50" s="14" t="s">
        <v>205</v>
      </c>
      <c r="D50" s="5" t="s">
        <v>258</v>
      </c>
      <c r="E50" s="5"/>
      <c r="F50" s="15" t="s">
        <v>259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5" t="s">
        <v>260</v>
      </c>
      <c r="B51" s="5"/>
      <c r="C51" s="14" t="s">
        <v>261</v>
      </c>
      <c r="D51" s="5" t="s">
        <v>64</v>
      </c>
      <c r="E51" s="5"/>
      <c r="F51" s="15" t="s">
        <v>262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5" t="s">
        <v>263</v>
      </c>
      <c r="B52" s="5"/>
      <c r="C52" s="14" t="s">
        <v>264</v>
      </c>
      <c r="D52" s="5" t="s">
        <v>265</v>
      </c>
      <c r="E52" s="5"/>
      <c r="F52" s="15" t="s">
        <v>266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5" t="s">
        <v>267</v>
      </c>
      <c r="B53" s="5"/>
      <c r="C53" s="14" t="s">
        <v>268</v>
      </c>
      <c r="D53" s="5" t="s">
        <v>269</v>
      </c>
      <c r="E53" s="5"/>
      <c r="F53" s="15" t="s">
        <v>270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5" t="s">
        <v>271</v>
      </c>
      <c r="B54" s="5"/>
      <c r="C54" s="14" t="s">
        <v>272</v>
      </c>
      <c r="D54" s="5" t="s">
        <v>273</v>
      </c>
      <c r="E54" s="5"/>
      <c r="F54" s="15" t="s">
        <v>274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5" t="s">
        <v>275</v>
      </c>
      <c r="B55" s="5"/>
      <c r="C55" s="14" t="s">
        <v>276</v>
      </c>
      <c r="D55" s="5" t="s">
        <v>277</v>
      </c>
      <c r="E55" s="5"/>
      <c r="F55" s="15" t="s">
        <v>278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5" t="s">
        <v>279</v>
      </c>
      <c r="B56" s="5"/>
      <c r="C56" s="14" t="s">
        <v>280</v>
      </c>
      <c r="D56" s="5" t="s">
        <v>281</v>
      </c>
      <c r="E56" s="5"/>
      <c r="F56" s="15" t="s">
        <v>282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5" t="s">
        <v>283</v>
      </c>
      <c r="B57" s="5"/>
      <c r="C57" s="14" t="s">
        <v>284</v>
      </c>
      <c r="D57" s="5" t="s">
        <v>285</v>
      </c>
      <c r="E57" s="5"/>
      <c r="F57" s="15" t="s">
        <v>286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5" t="s">
        <v>287</v>
      </c>
      <c r="B58" s="5"/>
      <c r="C58" s="14" t="s">
        <v>288</v>
      </c>
      <c r="D58" s="5" t="s">
        <v>289</v>
      </c>
      <c r="E58" s="5"/>
      <c r="F58" s="15" t="s">
        <v>290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5" t="s">
        <v>291</v>
      </c>
      <c r="B59" s="5"/>
      <c r="C59" s="14" t="s">
        <v>292</v>
      </c>
      <c r="D59" s="5" t="s">
        <v>293</v>
      </c>
      <c r="E59" s="5"/>
      <c r="F59" s="15" t="s">
        <v>294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5" t="s">
        <v>295</v>
      </c>
      <c r="B60" s="5"/>
      <c r="C60" s="5"/>
      <c r="D60" s="5"/>
      <c r="E60" s="5"/>
      <c r="F60" s="15" t="s">
        <v>296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5" t="s">
        <v>297</v>
      </c>
      <c r="B61" s="5"/>
      <c r="C61" s="14" t="s">
        <v>298</v>
      </c>
      <c r="D61" s="5" t="s">
        <v>299</v>
      </c>
      <c r="E61" s="5"/>
      <c r="F61" s="15" t="s">
        <v>300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5" t="s">
        <v>301</v>
      </c>
      <c r="B62" s="5"/>
      <c r="C62" s="14" t="s">
        <v>302</v>
      </c>
      <c r="D62" s="5" t="s">
        <v>303</v>
      </c>
      <c r="E62" s="5"/>
      <c r="F62" s="15" t="s">
        <v>304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5" t="s">
        <v>305</v>
      </c>
      <c r="B63" s="5"/>
      <c r="C63" s="14" t="s">
        <v>306</v>
      </c>
      <c r="D63" s="5" t="s">
        <v>307</v>
      </c>
      <c r="E63" s="5"/>
      <c r="F63" s="15" t="s">
        <v>308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5" t="s">
        <v>309</v>
      </c>
      <c r="B64" s="5"/>
      <c r="C64" s="5"/>
      <c r="D64" s="5"/>
      <c r="E64" s="5"/>
      <c r="F64" s="15" t="s">
        <v>310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5" t="s">
        <v>311</v>
      </c>
      <c r="B65" s="5"/>
      <c r="C65" s="14" t="s">
        <v>298</v>
      </c>
      <c r="D65" s="5" t="s">
        <v>312</v>
      </c>
      <c r="E65" s="5"/>
      <c r="F65" s="15" t="s">
        <v>313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5" t="s">
        <v>314</v>
      </c>
      <c r="B66" s="5"/>
      <c r="C66" s="14" t="s">
        <v>315</v>
      </c>
      <c r="D66" s="5" t="s">
        <v>316</v>
      </c>
      <c r="E66" s="5"/>
      <c r="F66" s="15" t="s">
        <v>317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5" t="s">
        <v>318</v>
      </c>
      <c r="B67" s="5"/>
      <c r="C67" s="14" t="s">
        <v>319</v>
      </c>
      <c r="D67" s="5" t="s">
        <v>320</v>
      </c>
      <c r="E67" s="5"/>
      <c r="F67" s="15" t="s">
        <v>321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5" t="s">
        <v>322</v>
      </c>
      <c r="B68" s="5"/>
      <c r="C68" s="14" t="s">
        <v>323</v>
      </c>
      <c r="D68" s="5" t="s">
        <v>324</v>
      </c>
      <c r="E68" s="5"/>
      <c r="F68" s="15" t="s">
        <v>325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5" t="s">
        <v>326</v>
      </c>
      <c r="B69" s="5"/>
      <c r="C69" s="14" t="s">
        <v>126</v>
      </c>
      <c r="D69" s="5" t="s">
        <v>327</v>
      </c>
      <c r="E69" s="5"/>
      <c r="F69" s="15" t="s">
        <v>328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5" t="s">
        <v>329</v>
      </c>
      <c r="B70" s="5"/>
      <c r="C70" s="14" t="s">
        <v>330</v>
      </c>
      <c r="D70" s="5" t="s">
        <v>331</v>
      </c>
      <c r="E70" s="5"/>
      <c r="F70" s="15" t="s">
        <v>332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5" t="s">
        <v>333</v>
      </c>
      <c r="B71" s="5"/>
      <c r="C71" s="14" t="s">
        <v>334</v>
      </c>
      <c r="D71" s="5" t="s">
        <v>335</v>
      </c>
      <c r="E71" s="5"/>
      <c r="F71" s="15" t="s">
        <v>336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5" t="s">
        <v>337</v>
      </c>
      <c r="B72" s="5"/>
      <c r="C72" s="14" t="s">
        <v>338</v>
      </c>
      <c r="D72" s="5" t="s">
        <v>339</v>
      </c>
      <c r="E72" s="5"/>
      <c r="F72" s="15" t="s">
        <v>340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5" t="s">
        <v>341</v>
      </c>
      <c r="B73" s="5"/>
      <c r="C73" s="14" t="s">
        <v>121</v>
      </c>
      <c r="D73" s="5" t="s">
        <v>342</v>
      </c>
      <c r="E73" s="5"/>
      <c r="F73" s="15" t="s">
        <v>343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5" t="s">
        <v>344</v>
      </c>
      <c r="B74" s="5"/>
      <c r="C74" s="14" t="s">
        <v>345</v>
      </c>
      <c r="D74" s="5" t="s">
        <v>346</v>
      </c>
      <c r="E74" s="5"/>
      <c r="F74" s="15" t="s">
        <v>347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5" t="s">
        <v>348</v>
      </c>
      <c r="B75" s="5"/>
      <c r="C75" s="14" t="s">
        <v>349</v>
      </c>
      <c r="D75" s="5" t="s">
        <v>350</v>
      </c>
      <c r="E75" s="5"/>
      <c r="F75" s="15" t="s">
        <v>351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5" t="s">
        <v>352</v>
      </c>
      <c r="B76" s="5"/>
      <c r="C76" s="14" t="s">
        <v>353</v>
      </c>
      <c r="D76" s="5" t="s">
        <v>354</v>
      </c>
      <c r="E76" s="5"/>
      <c r="F76" s="15" t="s">
        <v>355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5" t="s">
        <v>356</v>
      </c>
      <c r="B77" s="5"/>
      <c r="C77" s="14" t="s">
        <v>357</v>
      </c>
      <c r="D77" s="5" t="s">
        <v>358</v>
      </c>
      <c r="E77" s="5"/>
      <c r="F77" s="15" t="s">
        <v>359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5" t="s">
        <v>360</v>
      </c>
      <c r="B78" s="5"/>
      <c r="C78" s="14" t="s">
        <v>361</v>
      </c>
      <c r="D78" s="5" t="s">
        <v>362</v>
      </c>
      <c r="E78" s="16">
        <f>+919930995166</f>
        <v>919930995166</v>
      </c>
      <c r="F78" s="15" t="s">
        <v>363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5" t="s">
        <v>364</v>
      </c>
      <c r="B79" s="5"/>
      <c r="C79" s="14" t="s">
        <v>365</v>
      </c>
      <c r="D79" s="5" t="s">
        <v>366</v>
      </c>
      <c r="E79" s="5"/>
      <c r="F79" s="15" t="s">
        <v>367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5" t="s">
        <v>368</v>
      </c>
      <c r="B80" s="5"/>
      <c r="C80" s="14" t="s">
        <v>369</v>
      </c>
      <c r="D80" s="5" t="s">
        <v>370</v>
      </c>
      <c r="E80" s="5"/>
      <c r="F80" s="15" t="s">
        <v>371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5" t="s">
        <v>372</v>
      </c>
      <c r="B81" s="5"/>
      <c r="C81" s="14" t="s">
        <v>373</v>
      </c>
      <c r="D81" s="5" t="s">
        <v>374</v>
      </c>
      <c r="E81" s="5"/>
      <c r="F81" s="15" t="s">
        <v>375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5" t="s">
        <v>376</v>
      </c>
      <c r="B82" s="5"/>
      <c r="C82" s="14" t="s">
        <v>377</v>
      </c>
      <c r="D82" s="5" t="s">
        <v>378</v>
      </c>
      <c r="E82" s="5"/>
      <c r="F82" s="15" t="s">
        <v>379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5" t="s">
        <v>380</v>
      </c>
      <c r="B83" s="5"/>
      <c r="C83" s="14" t="s">
        <v>381</v>
      </c>
      <c r="D83" s="5" t="s">
        <v>382</v>
      </c>
      <c r="E83" s="5"/>
      <c r="F83" s="15" t="s">
        <v>383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5" t="s">
        <v>384</v>
      </c>
      <c r="B84" s="5"/>
      <c r="C84" s="14" t="s">
        <v>385</v>
      </c>
      <c r="D84" s="5" t="s">
        <v>386</v>
      </c>
      <c r="E84" s="5"/>
      <c r="F84" s="15" t="s">
        <v>387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5" t="s">
        <v>388</v>
      </c>
      <c r="B85" s="5"/>
      <c r="C85" s="14" t="s">
        <v>389</v>
      </c>
      <c r="D85" s="5" t="s">
        <v>390</v>
      </c>
      <c r="E85" s="5"/>
      <c r="F85" s="15" t="s">
        <v>391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5" t="s">
        <v>392</v>
      </c>
      <c r="B86" s="5"/>
      <c r="C86" s="14" t="s">
        <v>298</v>
      </c>
      <c r="D86" s="5" t="s">
        <v>312</v>
      </c>
      <c r="E86" s="5"/>
      <c r="F86" s="15" t="s">
        <v>393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5" t="s">
        <v>394</v>
      </c>
      <c r="B87" s="5"/>
      <c r="C87" s="14" t="s">
        <v>395</v>
      </c>
      <c r="D87" s="5" t="s">
        <v>135</v>
      </c>
      <c r="E87" s="5"/>
      <c r="F87" s="15" t="s">
        <v>396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5" t="s">
        <v>397</v>
      </c>
      <c r="B88" s="5"/>
      <c r="C88" s="14" t="s">
        <v>398</v>
      </c>
      <c r="D88" s="5" t="s">
        <v>399</v>
      </c>
      <c r="E88" s="5"/>
      <c r="F88" s="17" t="s">
        <v>400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5" t="s">
        <v>401</v>
      </c>
      <c r="B89" s="5"/>
      <c r="C89" s="14" t="s">
        <v>402</v>
      </c>
      <c r="D89" s="5" t="s">
        <v>403</v>
      </c>
      <c r="E89" s="5"/>
      <c r="F89" s="5" t="s">
        <v>404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5"/>
      <c r="B90" s="5"/>
      <c r="C90" s="5"/>
      <c r="D90" s="5"/>
      <c r="E90" s="5"/>
      <c r="F90" s="5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5" t="s">
        <v>405</v>
      </c>
      <c r="B91" s="5"/>
      <c r="C91" s="14" t="s">
        <v>406</v>
      </c>
      <c r="D91" s="5" t="s">
        <v>403</v>
      </c>
      <c r="E91" s="5"/>
      <c r="F91" s="17" t="s">
        <v>407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5" t="s">
        <v>408</v>
      </c>
      <c r="B92" s="5"/>
      <c r="C92" s="14" t="s">
        <v>409</v>
      </c>
      <c r="D92" s="5" t="s">
        <v>410</v>
      </c>
      <c r="E92" s="5"/>
      <c r="F92" s="17" t="s">
        <v>411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5" t="s">
        <v>412</v>
      </c>
      <c r="B93" s="5"/>
      <c r="C93" s="14" t="s">
        <v>413</v>
      </c>
      <c r="D93" s="5" t="s">
        <v>414</v>
      </c>
      <c r="E93" s="5"/>
      <c r="F93" s="17" t="s">
        <v>415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5" t="s">
        <v>416</v>
      </c>
      <c r="B94" s="5"/>
      <c r="C94" s="14" t="s">
        <v>126</v>
      </c>
      <c r="D94" s="5" t="s">
        <v>417</v>
      </c>
      <c r="E94" s="5"/>
      <c r="F94" s="5" t="s">
        <v>418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5" t="s">
        <v>419</v>
      </c>
      <c r="B95" s="5"/>
      <c r="C95" s="14" t="s">
        <v>420</v>
      </c>
      <c r="D95" s="5" t="s">
        <v>421</v>
      </c>
      <c r="E95" s="5"/>
      <c r="F95" s="17" t="s">
        <v>422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5" t="s">
        <v>423</v>
      </c>
      <c r="B96" s="5"/>
      <c r="C96" s="14" t="s">
        <v>424</v>
      </c>
      <c r="D96" s="5" t="s">
        <v>425</v>
      </c>
      <c r="E96" s="5"/>
      <c r="F96" s="17" t="s">
        <v>426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5" t="s">
        <v>427</v>
      </c>
      <c r="B97" s="5"/>
      <c r="C97" s="14" t="s">
        <v>395</v>
      </c>
      <c r="D97" s="5" t="s">
        <v>428</v>
      </c>
      <c r="E97" s="5"/>
      <c r="F97" s="5" t="s">
        <v>429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5" t="s">
        <v>430</v>
      </c>
      <c r="B98" s="5"/>
      <c r="C98" s="14" t="s">
        <v>431</v>
      </c>
      <c r="D98" s="5" t="s">
        <v>156</v>
      </c>
      <c r="E98" s="5"/>
      <c r="F98" s="5" t="s">
        <v>432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5" t="s">
        <v>433</v>
      </c>
      <c r="B99" s="5"/>
      <c r="C99" s="14" t="s">
        <v>306</v>
      </c>
      <c r="D99" s="5" t="s">
        <v>403</v>
      </c>
      <c r="E99" s="5"/>
      <c r="F99" s="5" t="s">
        <v>434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5" t="s">
        <v>435</v>
      </c>
      <c r="B100" s="5"/>
      <c r="C100" s="14" t="s">
        <v>436</v>
      </c>
      <c r="D100" s="5" t="s">
        <v>403</v>
      </c>
      <c r="E100" s="5"/>
      <c r="F100" s="5" t="s">
        <v>437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5" t="s">
        <v>438</v>
      </c>
      <c r="B101" s="5"/>
      <c r="C101" s="14" t="s">
        <v>395</v>
      </c>
      <c r="D101" s="5" t="s">
        <v>439</v>
      </c>
      <c r="E101" s="5"/>
      <c r="F101" s="5" t="s">
        <v>440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5" t="s">
        <v>441</v>
      </c>
      <c r="B102" s="5"/>
      <c r="C102" s="14" t="s">
        <v>442</v>
      </c>
      <c r="D102" s="5" t="s">
        <v>443</v>
      </c>
      <c r="E102" s="5"/>
      <c r="F102" s="5" t="s">
        <v>444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5" t="s">
        <v>445</v>
      </c>
      <c r="B103" s="5"/>
      <c r="C103" s="14" t="s">
        <v>446</v>
      </c>
      <c r="D103" s="5" t="s">
        <v>447</v>
      </c>
      <c r="E103" s="5"/>
      <c r="F103" s="5" t="s">
        <v>448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5" t="s">
        <v>449</v>
      </c>
      <c r="B104" s="5"/>
      <c r="C104" s="14" t="s">
        <v>450</v>
      </c>
      <c r="D104" s="5" t="s">
        <v>414</v>
      </c>
      <c r="E104" s="5"/>
      <c r="F104" s="5" t="s">
        <v>451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5" t="s">
        <v>452</v>
      </c>
      <c r="B105" s="5"/>
      <c r="C105" s="14" t="s">
        <v>453</v>
      </c>
      <c r="D105" s="5" t="s">
        <v>454</v>
      </c>
      <c r="E105" s="5"/>
      <c r="F105" s="5" t="s">
        <v>455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5" t="s">
        <v>456</v>
      </c>
      <c r="B106" s="5"/>
      <c r="C106" s="14" t="s">
        <v>457</v>
      </c>
      <c r="D106" s="5" t="s">
        <v>443</v>
      </c>
      <c r="E106" s="5"/>
      <c r="F106" s="15" t="s">
        <v>458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5" t="s">
        <v>459</v>
      </c>
      <c r="B107" s="5"/>
      <c r="C107" s="14" t="s">
        <v>460</v>
      </c>
      <c r="D107" s="5" t="s">
        <v>461</v>
      </c>
      <c r="E107" s="5"/>
      <c r="F107" s="5" t="s">
        <v>462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5" t="s">
        <v>463</v>
      </c>
      <c r="B108" s="5"/>
      <c r="C108" s="14" t="s">
        <v>464</v>
      </c>
      <c r="D108" s="5" t="s">
        <v>465</v>
      </c>
      <c r="E108" s="5"/>
      <c r="F108" s="5" t="s">
        <v>466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5" t="s">
        <v>467</v>
      </c>
      <c r="B109" s="5"/>
      <c r="C109" s="14" t="s">
        <v>468</v>
      </c>
      <c r="D109" s="5" t="s">
        <v>410</v>
      </c>
      <c r="E109" s="5"/>
      <c r="F109" s="5" t="s">
        <v>469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5" t="s">
        <v>470</v>
      </c>
      <c r="B110" s="5"/>
      <c r="C110" s="14" t="s">
        <v>471</v>
      </c>
      <c r="D110" s="5" t="s">
        <v>414</v>
      </c>
      <c r="E110" s="5"/>
      <c r="F110" s="5" t="s">
        <v>472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5" t="s">
        <v>473</v>
      </c>
      <c r="B111" s="5"/>
      <c r="C111" s="14" t="s">
        <v>474</v>
      </c>
      <c r="D111" s="5" t="s">
        <v>475</v>
      </c>
      <c r="E111" s="5"/>
      <c r="F111" s="5" t="s">
        <v>476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5" t="s">
        <v>477</v>
      </c>
      <c r="B112" s="5"/>
      <c r="C112" s="14" t="s">
        <v>478</v>
      </c>
      <c r="D112" s="5" t="s">
        <v>479</v>
      </c>
      <c r="E112" s="5"/>
      <c r="F112" s="5" t="s">
        <v>480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5" t="s">
        <v>481</v>
      </c>
      <c r="B113" s="5"/>
      <c r="C113" s="14" t="s">
        <v>482</v>
      </c>
      <c r="D113" s="5" t="s">
        <v>483</v>
      </c>
      <c r="E113" s="5"/>
      <c r="F113" s="5" t="s">
        <v>484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5" t="s">
        <v>485</v>
      </c>
      <c r="B114" s="5"/>
      <c r="C114" s="14" t="s">
        <v>486</v>
      </c>
      <c r="D114" s="5" t="s">
        <v>103</v>
      </c>
      <c r="E114" s="5"/>
      <c r="F114" s="17" t="s">
        <v>487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5" t="s">
        <v>488</v>
      </c>
      <c r="B115" s="5"/>
      <c r="C115" s="14" t="s">
        <v>489</v>
      </c>
      <c r="D115" s="5" t="s">
        <v>490</v>
      </c>
      <c r="E115" s="5"/>
      <c r="F115" s="5" t="s">
        <v>491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5" t="s">
        <v>492</v>
      </c>
      <c r="B116" s="5"/>
      <c r="C116" s="14" t="s">
        <v>493</v>
      </c>
      <c r="D116" s="5" t="s">
        <v>494</v>
      </c>
      <c r="E116" s="5"/>
      <c r="F116" s="5" t="s">
        <v>495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5" t="s">
        <v>496</v>
      </c>
      <c r="B117" s="5"/>
      <c r="C117" s="14" t="s">
        <v>497</v>
      </c>
      <c r="D117" s="5" t="s">
        <v>498</v>
      </c>
      <c r="E117" s="5"/>
      <c r="F117" s="5" t="s">
        <v>499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5" t="s">
        <v>500</v>
      </c>
      <c r="B118" s="5"/>
      <c r="C118" s="14" t="s">
        <v>501</v>
      </c>
      <c r="D118" s="5" t="s">
        <v>89</v>
      </c>
      <c r="E118" s="5"/>
      <c r="F118" s="5" t="s">
        <v>502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5" t="s">
        <v>503</v>
      </c>
      <c r="B119" s="5" t="s">
        <v>504</v>
      </c>
      <c r="C119" s="14" t="s">
        <v>505</v>
      </c>
      <c r="D119" s="5" t="s">
        <v>506</v>
      </c>
      <c r="E119" s="7">
        <v>9.989111181E9</v>
      </c>
      <c r="F119" s="15" t="s">
        <v>507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5" t="s">
        <v>508</v>
      </c>
      <c r="B120" s="5"/>
      <c r="C120" s="14" t="s">
        <v>509</v>
      </c>
      <c r="D120" s="5" t="s">
        <v>443</v>
      </c>
      <c r="E120" s="5"/>
      <c r="F120" s="5" t="s">
        <v>510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5" t="s">
        <v>511</v>
      </c>
      <c r="B121" s="5"/>
      <c r="C121" s="14" t="s">
        <v>373</v>
      </c>
      <c r="D121" s="5" t="s">
        <v>512</v>
      </c>
      <c r="E121" s="5"/>
      <c r="F121" s="5" t="s">
        <v>513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5" t="s">
        <v>514</v>
      </c>
      <c r="B122" s="5"/>
      <c r="C122" s="14" t="s">
        <v>515</v>
      </c>
      <c r="D122" s="5" t="s">
        <v>516</v>
      </c>
      <c r="E122" s="5"/>
      <c r="F122" s="5" t="s">
        <v>517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5" t="s">
        <v>518</v>
      </c>
      <c r="B123" s="5"/>
      <c r="C123" s="14" t="s">
        <v>373</v>
      </c>
      <c r="D123" s="5" t="s">
        <v>519</v>
      </c>
      <c r="E123" s="5"/>
      <c r="F123" s="5" t="s">
        <v>520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5" t="s">
        <v>521</v>
      </c>
      <c r="B124" s="5"/>
      <c r="C124" s="14" t="s">
        <v>373</v>
      </c>
      <c r="D124" s="5" t="s">
        <v>522</v>
      </c>
      <c r="E124" s="5"/>
      <c r="F124" s="5" t="s">
        <v>523</v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5"/>
      <c r="B125" s="5"/>
      <c r="C125" s="5"/>
      <c r="D125" s="5"/>
      <c r="E125" s="5"/>
      <c r="F125" s="5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5" t="s">
        <v>524</v>
      </c>
      <c r="B126" s="5"/>
      <c r="C126" s="14" t="s">
        <v>525</v>
      </c>
      <c r="D126" s="5" t="s">
        <v>526</v>
      </c>
      <c r="E126" s="5"/>
      <c r="F126" s="5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5" t="s">
        <v>527</v>
      </c>
      <c r="B127" s="5"/>
      <c r="C127" s="14" t="s">
        <v>528</v>
      </c>
      <c r="D127" s="5" t="s">
        <v>529</v>
      </c>
      <c r="E127" s="5"/>
      <c r="F127" s="5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5" t="s">
        <v>530</v>
      </c>
      <c r="B128" s="5" t="s">
        <v>531</v>
      </c>
      <c r="C128" s="14" t="s">
        <v>532</v>
      </c>
      <c r="D128" s="5" t="s">
        <v>533</v>
      </c>
      <c r="E128" s="7">
        <v>9.19963627272E11</v>
      </c>
      <c r="F128" s="5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5" t="s">
        <v>125</v>
      </c>
      <c r="B129" s="5"/>
      <c r="C129" s="14" t="s">
        <v>126</v>
      </c>
      <c r="D129" s="5" t="s">
        <v>534</v>
      </c>
      <c r="E129" s="5"/>
      <c r="F129" s="5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5" t="s">
        <v>459</v>
      </c>
      <c r="B130" s="5"/>
      <c r="C130" s="14" t="s">
        <v>535</v>
      </c>
      <c r="D130" s="5" t="s">
        <v>461</v>
      </c>
      <c r="E130" s="5"/>
      <c r="F130" s="5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5" t="s">
        <v>536</v>
      </c>
      <c r="B131" s="5"/>
      <c r="C131" s="14" t="s">
        <v>537</v>
      </c>
      <c r="D131" s="5" t="s">
        <v>538</v>
      </c>
      <c r="E131" s="5"/>
      <c r="F131" s="5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5" t="s">
        <v>539</v>
      </c>
      <c r="B132" s="5"/>
      <c r="C132" s="14" t="s">
        <v>540</v>
      </c>
      <c r="D132" s="5" t="s">
        <v>541</v>
      </c>
      <c r="E132" s="5"/>
      <c r="F132" s="5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5" t="s">
        <v>542</v>
      </c>
      <c r="B133" s="5"/>
      <c r="C133" s="14" t="s">
        <v>543</v>
      </c>
      <c r="D133" s="5" t="s">
        <v>544</v>
      </c>
      <c r="E133" s="5"/>
      <c r="F133" s="5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5" t="s">
        <v>545</v>
      </c>
      <c r="B134" s="5"/>
      <c r="C134" s="14" t="s">
        <v>546</v>
      </c>
      <c r="D134" s="5" t="s">
        <v>547</v>
      </c>
      <c r="E134" s="7">
        <f>919845223200</f>
        <v>919845223200</v>
      </c>
      <c r="F134" s="5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5" t="s">
        <v>548</v>
      </c>
      <c r="B135" s="5"/>
      <c r="C135" s="14" t="s">
        <v>549</v>
      </c>
      <c r="D135" s="5" t="s">
        <v>550</v>
      </c>
      <c r="E135" s="5"/>
      <c r="F135" s="5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5" t="s">
        <v>551</v>
      </c>
      <c r="B136" s="5"/>
      <c r="C136" s="18" t="s">
        <v>552</v>
      </c>
      <c r="D136" s="5" t="s">
        <v>553</v>
      </c>
      <c r="E136" s="5"/>
      <c r="F136" s="5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5" t="s">
        <v>554</v>
      </c>
      <c r="B137" s="5"/>
      <c r="C137" s="14" t="s">
        <v>555</v>
      </c>
      <c r="D137" s="5" t="s">
        <v>556</v>
      </c>
      <c r="E137" s="5"/>
      <c r="F137" s="5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5" t="s">
        <v>557</v>
      </c>
      <c r="B138" s="5"/>
      <c r="C138" s="14" t="s">
        <v>558</v>
      </c>
      <c r="D138" s="5" t="s">
        <v>559</v>
      </c>
      <c r="E138" s="5"/>
      <c r="F138" s="5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5" t="s">
        <v>560</v>
      </c>
      <c r="B139" s="5"/>
      <c r="C139" s="14" t="s">
        <v>561</v>
      </c>
      <c r="D139" s="5" t="s">
        <v>562</v>
      </c>
      <c r="E139" s="5"/>
      <c r="F139" s="5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5" t="s">
        <v>563</v>
      </c>
      <c r="B140" s="5"/>
      <c r="C140" s="14" t="s">
        <v>564</v>
      </c>
      <c r="D140" s="5" t="s">
        <v>11</v>
      </c>
      <c r="E140" s="5"/>
      <c r="F140" s="5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5" t="s">
        <v>565</v>
      </c>
      <c r="B141" s="5"/>
      <c r="C141" s="18" t="s">
        <v>566</v>
      </c>
      <c r="D141" s="5" t="s">
        <v>567</v>
      </c>
      <c r="E141" s="5"/>
      <c r="F141" s="5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5" t="s">
        <v>503</v>
      </c>
      <c r="B142" s="5"/>
      <c r="C142" s="14" t="s">
        <v>568</v>
      </c>
      <c r="D142" s="5" t="s">
        <v>506</v>
      </c>
      <c r="E142" s="5"/>
      <c r="F142" s="5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5" t="s">
        <v>496</v>
      </c>
      <c r="B143" s="5"/>
      <c r="C143" s="14" t="s">
        <v>569</v>
      </c>
      <c r="D143" s="5" t="s">
        <v>570</v>
      </c>
      <c r="E143" s="5"/>
      <c r="F143" s="5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5" t="s">
        <v>571</v>
      </c>
      <c r="B144" s="5"/>
      <c r="C144" s="19" t="s">
        <v>572</v>
      </c>
      <c r="D144" s="5" t="s">
        <v>559</v>
      </c>
      <c r="E144" s="5"/>
      <c r="F144" s="5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5" t="s">
        <v>573</v>
      </c>
      <c r="B145" s="5"/>
      <c r="C145" s="14" t="s">
        <v>574</v>
      </c>
      <c r="D145" s="5" t="s">
        <v>575</v>
      </c>
      <c r="E145" s="7">
        <f>919959559830</f>
        <v>919959559830</v>
      </c>
      <c r="F145" s="15" t="s">
        <v>576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5" t="s">
        <v>577</v>
      </c>
      <c r="B146" s="5"/>
      <c r="C146" s="14" t="s">
        <v>578</v>
      </c>
      <c r="D146" s="5" t="s">
        <v>579</v>
      </c>
      <c r="E146" s="5"/>
      <c r="F146" s="5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5" t="s">
        <v>580</v>
      </c>
      <c r="B147" s="5"/>
      <c r="C147" s="14" t="s">
        <v>163</v>
      </c>
      <c r="D147" s="5" t="s">
        <v>581</v>
      </c>
      <c r="E147" s="5"/>
      <c r="F147" s="5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5" t="s">
        <v>582</v>
      </c>
      <c r="B148" s="5"/>
      <c r="C148" s="14" t="s">
        <v>583</v>
      </c>
      <c r="D148" s="5" t="s">
        <v>59</v>
      </c>
      <c r="E148" s="5"/>
      <c r="F148" s="5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5" t="s">
        <v>584</v>
      </c>
      <c r="B149" s="5"/>
      <c r="C149" s="14" t="s">
        <v>585</v>
      </c>
      <c r="D149" s="5" t="s">
        <v>156</v>
      </c>
      <c r="E149" s="5"/>
      <c r="F149" s="5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5" t="s">
        <v>586</v>
      </c>
      <c r="B150" s="5"/>
      <c r="C150" s="14" t="s">
        <v>587</v>
      </c>
      <c r="D150" s="5" t="s">
        <v>588</v>
      </c>
      <c r="E150" s="5"/>
      <c r="F150" s="5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5" t="s">
        <v>589</v>
      </c>
      <c r="B151" s="5"/>
      <c r="C151" s="14" t="s">
        <v>590</v>
      </c>
      <c r="D151" s="5" t="s">
        <v>591</v>
      </c>
      <c r="E151" s="5"/>
      <c r="F151" s="5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5" t="s">
        <v>592</v>
      </c>
      <c r="B152" s="5"/>
      <c r="C152" s="14" t="s">
        <v>593</v>
      </c>
      <c r="D152" s="5" t="s">
        <v>414</v>
      </c>
      <c r="E152" s="5"/>
      <c r="F152" s="5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5" t="s">
        <v>594</v>
      </c>
      <c r="B153" s="5"/>
      <c r="C153" s="14" t="s">
        <v>595</v>
      </c>
      <c r="D153" s="15" t="s">
        <v>596</v>
      </c>
      <c r="E153" s="5"/>
      <c r="F153" s="5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5" t="s">
        <v>597</v>
      </c>
      <c r="B154" s="5"/>
      <c r="C154" s="14" t="s">
        <v>587</v>
      </c>
      <c r="D154" s="5" t="s">
        <v>598</v>
      </c>
      <c r="E154" s="5"/>
      <c r="F154" s="5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5" t="s">
        <v>599</v>
      </c>
      <c r="B155" s="5"/>
      <c r="C155" s="14" t="s">
        <v>549</v>
      </c>
      <c r="D155" s="15" t="s">
        <v>600</v>
      </c>
      <c r="E155" s="5"/>
      <c r="F155" s="5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5" t="s">
        <v>601</v>
      </c>
      <c r="B156" s="5"/>
      <c r="C156" s="14" t="s">
        <v>602</v>
      </c>
      <c r="D156" s="5" t="s">
        <v>603</v>
      </c>
      <c r="E156" s="5"/>
      <c r="F156" s="5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5" t="s">
        <v>604</v>
      </c>
      <c r="B157" s="5"/>
      <c r="C157" s="18" t="s">
        <v>605</v>
      </c>
      <c r="D157" s="5" t="s">
        <v>606</v>
      </c>
      <c r="E157" s="5"/>
      <c r="F157" s="5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5" t="s">
        <v>607</v>
      </c>
      <c r="B158" s="5"/>
      <c r="C158" s="14" t="s">
        <v>608</v>
      </c>
      <c r="D158" s="5" t="s">
        <v>609</v>
      </c>
      <c r="E158" s="5"/>
      <c r="F158" s="5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5" t="s">
        <v>610</v>
      </c>
      <c r="B159" s="5"/>
      <c r="C159" s="14" t="s">
        <v>611</v>
      </c>
      <c r="D159" s="5" t="s">
        <v>612</v>
      </c>
      <c r="E159" s="5"/>
      <c r="F159" s="5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5" t="s">
        <v>613</v>
      </c>
      <c r="B160" s="5" t="s">
        <v>614</v>
      </c>
      <c r="C160" s="14" t="s">
        <v>98</v>
      </c>
      <c r="D160" s="5" t="s">
        <v>615</v>
      </c>
      <c r="E160" s="7">
        <v>9.19880561321E11</v>
      </c>
      <c r="F160" s="5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5" t="s">
        <v>616</v>
      </c>
      <c r="B161" s="5"/>
      <c r="C161" s="14" t="s">
        <v>617</v>
      </c>
      <c r="D161" s="5" t="s">
        <v>618</v>
      </c>
      <c r="E161" s="5"/>
      <c r="F161" s="5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5" t="s">
        <v>619</v>
      </c>
      <c r="B162" s="5"/>
      <c r="C162" s="14" t="s">
        <v>569</v>
      </c>
      <c r="D162" s="5" t="s">
        <v>620</v>
      </c>
      <c r="E162" s="5"/>
      <c r="F162" s="5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5" t="s">
        <v>621</v>
      </c>
      <c r="B163" s="5"/>
      <c r="C163" s="14" t="s">
        <v>622</v>
      </c>
      <c r="D163" s="5" t="s">
        <v>623</v>
      </c>
      <c r="E163" s="5"/>
      <c r="F163" s="5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5" t="s">
        <v>624</v>
      </c>
      <c r="B164" s="5"/>
      <c r="C164" s="14" t="s">
        <v>625</v>
      </c>
      <c r="D164" s="5" t="s">
        <v>626</v>
      </c>
      <c r="E164" s="5"/>
      <c r="F164" s="5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5" t="s">
        <v>627</v>
      </c>
      <c r="B165" s="5"/>
      <c r="C165" s="14" t="s">
        <v>628</v>
      </c>
      <c r="D165" s="5" t="s">
        <v>629</v>
      </c>
      <c r="E165" s="5"/>
      <c r="F165" s="5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5" t="s">
        <v>630</v>
      </c>
      <c r="B166" s="5"/>
      <c r="C166" s="14" t="s">
        <v>631</v>
      </c>
      <c r="D166" s="5" t="s">
        <v>632</v>
      </c>
      <c r="E166" s="5"/>
      <c r="F166" s="5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5" t="s">
        <v>633</v>
      </c>
      <c r="B167" s="5"/>
      <c r="C167" s="18" t="s">
        <v>634</v>
      </c>
      <c r="D167" s="5" t="s">
        <v>635</v>
      </c>
      <c r="E167" s="5"/>
      <c r="F167" s="5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5" t="s">
        <v>636</v>
      </c>
      <c r="B168" s="5" t="s">
        <v>637</v>
      </c>
      <c r="C168" s="14" t="s">
        <v>569</v>
      </c>
      <c r="D168" s="5" t="s">
        <v>638</v>
      </c>
      <c r="E168" s="7">
        <v>9.1960008849E11</v>
      </c>
      <c r="F168" s="5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5" t="s">
        <v>639</v>
      </c>
      <c r="B169" s="5"/>
      <c r="C169" s="14" t="s">
        <v>640</v>
      </c>
      <c r="D169" s="5" t="s">
        <v>641</v>
      </c>
      <c r="E169" s="5"/>
      <c r="F169" s="5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5" t="s">
        <v>137</v>
      </c>
      <c r="B170" s="5"/>
      <c r="C170" s="14" t="s">
        <v>139</v>
      </c>
      <c r="D170" s="5" t="s">
        <v>642</v>
      </c>
      <c r="E170" s="5"/>
      <c r="F170" s="5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5" t="s">
        <v>643</v>
      </c>
      <c r="B171" s="5"/>
      <c r="C171" s="18" t="s">
        <v>644</v>
      </c>
      <c r="D171" s="5" t="s">
        <v>645</v>
      </c>
      <c r="E171" s="5"/>
      <c r="F171" s="5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5" t="s">
        <v>646</v>
      </c>
      <c r="B172" s="5"/>
      <c r="C172" s="14" t="s">
        <v>647</v>
      </c>
      <c r="D172" s="5" t="s">
        <v>648</v>
      </c>
      <c r="E172" s="5"/>
      <c r="F172" s="5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5" t="s">
        <v>649</v>
      </c>
      <c r="B173" s="5"/>
      <c r="C173" s="14" t="s">
        <v>650</v>
      </c>
      <c r="D173" s="5" t="s">
        <v>651</v>
      </c>
      <c r="E173" s="5"/>
      <c r="F173" s="15" t="s">
        <v>652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5" t="s">
        <v>653</v>
      </c>
      <c r="B174" s="5"/>
      <c r="C174" s="14" t="s">
        <v>654</v>
      </c>
      <c r="D174" s="5" t="s">
        <v>461</v>
      </c>
      <c r="E174" s="5"/>
      <c r="F174" s="5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5" t="s">
        <v>655</v>
      </c>
      <c r="B175" s="5"/>
      <c r="C175" s="14" t="s">
        <v>656</v>
      </c>
      <c r="D175" s="5" t="s">
        <v>657</v>
      </c>
      <c r="E175" s="5"/>
      <c r="F175" s="5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5" t="s">
        <v>658</v>
      </c>
      <c r="B176" s="5"/>
      <c r="C176" s="14" t="s">
        <v>587</v>
      </c>
      <c r="D176" s="5" t="s">
        <v>659</v>
      </c>
      <c r="E176" s="5"/>
      <c r="F176" s="5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5" t="s">
        <v>660</v>
      </c>
      <c r="B177" s="5"/>
      <c r="C177" s="14" t="s">
        <v>661</v>
      </c>
      <c r="D177" s="5" t="s">
        <v>71</v>
      </c>
      <c r="E177" s="5"/>
      <c r="F177" s="5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5" t="s">
        <v>662</v>
      </c>
      <c r="B178" s="5"/>
      <c r="C178" s="14" t="s">
        <v>663</v>
      </c>
      <c r="D178" s="5" t="s">
        <v>664</v>
      </c>
      <c r="E178" s="5"/>
      <c r="F178" s="5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5" t="s">
        <v>665</v>
      </c>
      <c r="B179" s="5"/>
      <c r="C179" s="20" t="s">
        <v>666</v>
      </c>
      <c r="D179" s="5" t="s">
        <v>667</v>
      </c>
      <c r="E179" s="5"/>
      <c r="F179" s="5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5" t="s">
        <v>668</v>
      </c>
      <c r="B180" s="5"/>
      <c r="C180" s="14" t="s">
        <v>669</v>
      </c>
      <c r="D180" s="5" t="s">
        <v>670</v>
      </c>
      <c r="E180" s="5"/>
      <c r="F180" s="5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5" t="s">
        <v>671</v>
      </c>
      <c r="B181" s="5"/>
      <c r="C181" s="18" t="s">
        <v>672</v>
      </c>
      <c r="D181" s="5" t="s">
        <v>673</v>
      </c>
      <c r="E181" s="5"/>
      <c r="F181" s="5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5" t="s">
        <v>674</v>
      </c>
      <c r="B182" s="5"/>
      <c r="C182" s="14" t="s">
        <v>675</v>
      </c>
      <c r="D182" s="5" t="s">
        <v>676</v>
      </c>
      <c r="E182" s="5"/>
      <c r="F182" s="5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5" t="s">
        <v>677</v>
      </c>
      <c r="B183" s="5"/>
      <c r="C183" s="14" t="s">
        <v>678</v>
      </c>
      <c r="D183" s="5" t="s">
        <v>679</v>
      </c>
      <c r="E183" s="7">
        <f>919848622440</f>
        <v>919848622440</v>
      </c>
      <c r="F183" s="5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5" t="s">
        <v>680</v>
      </c>
      <c r="B184" s="5"/>
      <c r="C184" s="14" t="s">
        <v>681</v>
      </c>
      <c r="D184" s="5" t="s">
        <v>682</v>
      </c>
      <c r="E184" s="5"/>
      <c r="F184" s="5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5" t="s">
        <v>683</v>
      </c>
      <c r="B185" s="5"/>
      <c r="C185" s="14" t="s">
        <v>684</v>
      </c>
      <c r="D185" s="5" t="s">
        <v>685</v>
      </c>
      <c r="E185" s="5"/>
      <c r="F185" s="5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5" t="s">
        <v>686</v>
      </c>
      <c r="B186" s="5"/>
      <c r="C186" s="5"/>
      <c r="D186" s="5" t="s">
        <v>687</v>
      </c>
      <c r="E186" s="5"/>
      <c r="F186" s="5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5" t="s">
        <v>688</v>
      </c>
      <c r="B187" s="5"/>
      <c r="C187" s="14" t="s">
        <v>689</v>
      </c>
      <c r="D187" s="5" t="s">
        <v>690</v>
      </c>
      <c r="E187" s="5"/>
      <c r="F187" s="5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5" t="s">
        <v>691</v>
      </c>
      <c r="B188" s="5"/>
      <c r="C188" s="21" t="s">
        <v>691</v>
      </c>
      <c r="D188" s="5" t="s">
        <v>692</v>
      </c>
      <c r="E188" s="5"/>
      <c r="F188" s="5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5" t="s">
        <v>693</v>
      </c>
      <c r="B189" s="5"/>
      <c r="C189" s="14" t="s">
        <v>694</v>
      </c>
      <c r="D189" s="5" t="s">
        <v>695</v>
      </c>
      <c r="E189" s="5"/>
      <c r="F189" s="5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5" t="s">
        <v>696</v>
      </c>
      <c r="B190" s="5"/>
      <c r="C190" s="14" t="s">
        <v>697</v>
      </c>
      <c r="D190" s="5" t="s">
        <v>698</v>
      </c>
      <c r="E190" s="5"/>
      <c r="F190" s="5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5" t="s">
        <v>699</v>
      </c>
      <c r="B191" s="5"/>
      <c r="C191" s="14" t="s">
        <v>700</v>
      </c>
      <c r="D191" s="5" t="s">
        <v>701</v>
      </c>
      <c r="E191" s="5"/>
      <c r="F191" s="5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5" t="s">
        <v>702</v>
      </c>
      <c r="B192" s="5"/>
      <c r="C192" s="14" t="s">
        <v>703</v>
      </c>
      <c r="D192" s="5" t="s">
        <v>704</v>
      </c>
      <c r="E192" s="5"/>
      <c r="F192" s="5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5"/>
      <c r="B193" s="5"/>
      <c r="C193" s="5"/>
      <c r="D193" s="5"/>
      <c r="E193" s="5"/>
      <c r="F193" s="5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5" t="s">
        <v>705</v>
      </c>
      <c r="B194" s="5"/>
      <c r="C194" s="14" t="s">
        <v>706</v>
      </c>
      <c r="D194" s="5" t="s">
        <v>707</v>
      </c>
      <c r="E194" s="5"/>
      <c r="F194" s="5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5" t="s">
        <v>708</v>
      </c>
      <c r="B195" s="5"/>
      <c r="C195" s="14" t="s">
        <v>709</v>
      </c>
      <c r="D195" s="5" t="s">
        <v>103</v>
      </c>
      <c r="E195" s="7">
        <v>9.19160299988E11</v>
      </c>
      <c r="F195" s="5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5" t="s">
        <v>710</v>
      </c>
      <c r="B196" s="5"/>
      <c r="C196" s="14" t="s">
        <v>711</v>
      </c>
      <c r="D196" s="5" t="s">
        <v>712</v>
      </c>
      <c r="E196" s="5"/>
      <c r="F196" s="5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5" t="s">
        <v>713</v>
      </c>
      <c r="B197" s="5"/>
      <c r="C197" s="14" t="s">
        <v>714</v>
      </c>
      <c r="D197" s="5" t="s">
        <v>544</v>
      </c>
      <c r="E197" s="7">
        <v>9.19885320328E11</v>
      </c>
      <c r="F197" s="5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5" t="s">
        <v>715</v>
      </c>
      <c r="B198" s="5"/>
      <c r="C198" s="14" t="s">
        <v>716</v>
      </c>
      <c r="D198" s="5" t="s">
        <v>58</v>
      </c>
      <c r="E198" s="5"/>
      <c r="F198" s="5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5" t="s">
        <v>717</v>
      </c>
      <c r="B199" s="5"/>
      <c r="C199" s="14" t="s">
        <v>718</v>
      </c>
      <c r="D199" s="5" t="s">
        <v>719</v>
      </c>
      <c r="E199" s="5"/>
      <c r="F199" s="5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5" t="s">
        <v>720</v>
      </c>
      <c r="B200" s="5" t="s">
        <v>721</v>
      </c>
      <c r="C200" s="14" t="s">
        <v>722</v>
      </c>
      <c r="D200" s="5" t="s">
        <v>723</v>
      </c>
      <c r="E200" s="7">
        <v>9.19121007921E11</v>
      </c>
      <c r="F200" s="15" t="s">
        <v>724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5"/>
      <c r="B201" s="5"/>
      <c r="C201" s="5"/>
      <c r="D201" s="5"/>
      <c r="E201" s="5"/>
      <c r="F201" s="5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5"/>
      <c r="B202" s="5"/>
      <c r="C202" s="5"/>
      <c r="D202" s="5" t="s">
        <v>725</v>
      </c>
      <c r="E202" s="5"/>
      <c r="F202" s="5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5" t="s">
        <v>726</v>
      </c>
      <c r="B203" s="5"/>
      <c r="C203" s="14" t="s">
        <v>727</v>
      </c>
      <c r="D203" s="5" t="s">
        <v>366</v>
      </c>
      <c r="E203" s="5"/>
      <c r="F203" s="5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5" t="s">
        <v>728</v>
      </c>
      <c r="B204" s="5"/>
      <c r="C204" s="14" t="s">
        <v>729</v>
      </c>
      <c r="D204" s="5" t="s">
        <v>730</v>
      </c>
      <c r="E204" s="5"/>
      <c r="F204" s="5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5" t="s">
        <v>731</v>
      </c>
      <c r="B205" s="5"/>
      <c r="C205" s="14" t="s">
        <v>661</v>
      </c>
      <c r="D205" s="5" t="s">
        <v>732</v>
      </c>
      <c r="E205" s="5" t="s">
        <v>733</v>
      </c>
      <c r="F205" s="5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5" t="s">
        <v>734</v>
      </c>
      <c r="B206" s="5"/>
      <c r="C206" s="14" t="s">
        <v>735</v>
      </c>
      <c r="D206" s="5" t="s">
        <v>403</v>
      </c>
      <c r="E206" s="5"/>
      <c r="F206" s="5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5" t="s">
        <v>736</v>
      </c>
      <c r="B207" s="5"/>
      <c r="C207" s="14" t="s">
        <v>737</v>
      </c>
      <c r="D207" s="5" t="s">
        <v>738</v>
      </c>
      <c r="E207" s="5"/>
      <c r="F207" s="5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5" t="s">
        <v>739</v>
      </c>
      <c r="B208" s="5"/>
      <c r="C208" s="14" t="s">
        <v>740</v>
      </c>
      <c r="D208" s="5" t="s">
        <v>741</v>
      </c>
      <c r="E208" s="5"/>
      <c r="F208" s="5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5" t="s">
        <v>742</v>
      </c>
      <c r="B209" s="5" t="s">
        <v>743</v>
      </c>
      <c r="C209" s="14" t="s">
        <v>744</v>
      </c>
      <c r="D209" s="5" t="s">
        <v>53</v>
      </c>
      <c r="E209" s="5" t="s">
        <v>745</v>
      </c>
      <c r="F209" s="15" t="s">
        <v>746</v>
      </c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5" t="s">
        <v>508</v>
      </c>
      <c r="B210" s="5" t="s">
        <v>747</v>
      </c>
      <c r="C210" s="14" t="s">
        <v>748</v>
      </c>
      <c r="D210" s="5" t="s">
        <v>113</v>
      </c>
      <c r="E210" s="7">
        <v>9.717583903E9</v>
      </c>
      <c r="F210" s="15" t="s">
        <v>749</v>
      </c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5"/>
      <c r="B211" s="5"/>
      <c r="C211" s="5"/>
      <c r="D211" s="5"/>
      <c r="E211" s="5"/>
      <c r="F211" s="5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5"/>
      <c r="B212" s="5"/>
      <c r="C212" s="5"/>
      <c r="D212" s="5"/>
      <c r="E212" s="5"/>
      <c r="F212" s="15" t="s">
        <v>750</v>
      </c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5" t="s">
        <v>751</v>
      </c>
      <c r="B213" s="5" t="s">
        <v>752</v>
      </c>
      <c r="C213" s="14" t="s">
        <v>753</v>
      </c>
      <c r="D213" s="5" t="s">
        <v>754</v>
      </c>
      <c r="E213" s="5"/>
      <c r="F213" s="15" t="s">
        <v>755</v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5"/>
      <c r="B214" s="5"/>
      <c r="C214" s="5"/>
      <c r="D214" s="5"/>
      <c r="E214" s="5"/>
      <c r="F214" s="15" t="s">
        <v>756</v>
      </c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5"/>
      <c r="B215" s="5"/>
      <c r="C215" s="5"/>
      <c r="D215" s="5"/>
      <c r="E215" s="5"/>
      <c r="F215" s="15" t="s">
        <v>757</v>
      </c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5" t="s">
        <v>758</v>
      </c>
      <c r="B216" s="5" t="s">
        <v>759</v>
      </c>
      <c r="C216" s="5"/>
      <c r="D216" s="5" t="s">
        <v>760</v>
      </c>
      <c r="E216" s="7">
        <f>919000880074</f>
        <v>919000880074</v>
      </c>
      <c r="F216" s="15" t="s">
        <v>761</v>
      </c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5" t="s">
        <v>762</v>
      </c>
      <c r="B217" s="22" t="s">
        <v>763</v>
      </c>
      <c r="C217" s="14" t="s">
        <v>126</v>
      </c>
      <c r="D217" s="5" t="s">
        <v>764</v>
      </c>
      <c r="E217" s="7">
        <f>918427001722</f>
        <v>918427001722</v>
      </c>
      <c r="F217" s="15" t="s">
        <v>757</v>
      </c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5" t="s">
        <v>765</v>
      </c>
      <c r="B218" s="5" t="s">
        <v>766</v>
      </c>
      <c r="C218" s="14" t="s">
        <v>205</v>
      </c>
      <c r="D218" s="5" t="s">
        <v>767</v>
      </c>
      <c r="E218" s="7">
        <f>919810207620</f>
        <v>919810207620</v>
      </c>
      <c r="F218" s="15" t="s">
        <v>768</v>
      </c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5" t="s">
        <v>769</v>
      </c>
      <c r="B219" s="5" t="s">
        <v>770</v>
      </c>
      <c r="C219" s="14" t="s">
        <v>771</v>
      </c>
      <c r="D219" s="5" t="s">
        <v>772</v>
      </c>
      <c r="E219" s="7">
        <f>917093319939</f>
        <v>917093319939</v>
      </c>
      <c r="F219" s="15" t="s">
        <v>773</v>
      </c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5" t="s">
        <v>774</v>
      </c>
      <c r="B220" s="5"/>
      <c r="C220" s="14" t="s">
        <v>775</v>
      </c>
      <c r="D220" s="5" t="s">
        <v>776</v>
      </c>
      <c r="E220" s="5"/>
      <c r="F220" s="15" t="s">
        <v>777</v>
      </c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5" t="s">
        <v>778</v>
      </c>
      <c r="B221" s="5"/>
      <c r="C221" s="14" t="s">
        <v>779</v>
      </c>
      <c r="D221" s="5" t="s">
        <v>780</v>
      </c>
      <c r="E221" s="5"/>
      <c r="F221" s="15" t="s">
        <v>781</v>
      </c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5" t="s">
        <v>12</v>
      </c>
      <c r="B222" s="5" t="s">
        <v>18</v>
      </c>
      <c r="C222" s="14" t="s">
        <v>782</v>
      </c>
      <c r="D222" s="5" t="s">
        <v>783</v>
      </c>
      <c r="E222" s="7">
        <f>919966507001</f>
        <v>919966507001</v>
      </c>
      <c r="F222" s="15" t="s">
        <v>26</v>
      </c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5" t="s">
        <v>784</v>
      </c>
      <c r="B223" s="22" t="s">
        <v>785</v>
      </c>
      <c r="C223" s="14" t="s">
        <v>786</v>
      </c>
      <c r="D223" s="5" t="s">
        <v>787</v>
      </c>
      <c r="E223" s="7">
        <f>919100126048</f>
        <v>919100126048</v>
      </c>
      <c r="F223" s="15" t="s">
        <v>788</v>
      </c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5" t="s">
        <v>789</v>
      </c>
      <c r="B224" s="5"/>
      <c r="C224" s="14" t="s">
        <v>790</v>
      </c>
      <c r="D224" s="5" t="s">
        <v>791</v>
      </c>
      <c r="E224" s="7">
        <f>917838381538</f>
        <v>917838381538</v>
      </c>
      <c r="F224" s="15" t="s">
        <v>792</v>
      </c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5" t="s">
        <v>793</v>
      </c>
      <c r="B225" s="5"/>
      <c r="C225" s="14" t="s">
        <v>205</v>
      </c>
      <c r="D225" s="5" t="s">
        <v>794</v>
      </c>
      <c r="E225" s="5"/>
      <c r="F225" s="15" t="s">
        <v>795</v>
      </c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5" t="s">
        <v>441</v>
      </c>
      <c r="B226" s="5"/>
      <c r="C226" s="14" t="s">
        <v>796</v>
      </c>
      <c r="D226" s="5" t="s">
        <v>113</v>
      </c>
      <c r="E226" s="7">
        <f>919701933316</f>
        <v>919701933316</v>
      </c>
      <c r="F226" s="15" t="s">
        <v>797</v>
      </c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5" t="s">
        <v>798</v>
      </c>
      <c r="B227" s="5"/>
      <c r="C227" s="14" t="s">
        <v>799</v>
      </c>
      <c r="D227" s="5" t="s">
        <v>800</v>
      </c>
      <c r="E227" s="7">
        <v>9.848999554E9</v>
      </c>
      <c r="F227" s="15" t="s">
        <v>801</v>
      </c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5" t="s">
        <v>802</v>
      </c>
      <c r="B228" s="5" t="s">
        <v>803</v>
      </c>
      <c r="C228" s="14" t="s">
        <v>804</v>
      </c>
      <c r="D228" s="5" t="s">
        <v>805</v>
      </c>
      <c r="E228" s="5"/>
      <c r="F228" s="15" t="s">
        <v>806</v>
      </c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5" t="s">
        <v>807</v>
      </c>
      <c r="B229" s="5"/>
      <c r="C229" s="14" t="s">
        <v>808</v>
      </c>
      <c r="D229" s="5" t="s">
        <v>809</v>
      </c>
      <c r="E229" s="5"/>
      <c r="F229" s="15" t="s">
        <v>810</v>
      </c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5" t="s">
        <v>811</v>
      </c>
      <c r="B230" s="5"/>
      <c r="C230" s="14" t="s">
        <v>812</v>
      </c>
      <c r="D230" s="5" t="s">
        <v>813</v>
      </c>
      <c r="E230" s="5"/>
      <c r="F230" s="15" t="s">
        <v>814</v>
      </c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5" t="s">
        <v>815</v>
      </c>
      <c r="B231" s="5"/>
      <c r="C231" s="14" t="s">
        <v>816</v>
      </c>
      <c r="D231" s="5" t="s">
        <v>817</v>
      </c>
      <c r="E231" s="5"/>
      <c r="F231" s="15" t="s">
        <v>818</v>
      </c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5" t="s">
        <v>503</v>
      </c>
      <c r="B232" s="5"/>
      <c r="C232" s="14" t="s">
        <v>568</v>
      </c>
      <c r="D232" s="5" t="s">
        <v>506</v>
      </c>
      <c r="E232" s="7">
        <v>9.989111181E9</v>
      </c>
      <c r="F232" s="15" t="s">
        <v>819</v>
      </c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5" t="s">
        <v>820</v>
      </c>
      <c r="B233" s="5" t="s">
        <v>821</v>
      </c>
      <c r="C233" s="14" t="s">
        <v>822</v>
      </c>
      <c r="D233" s="5" t="s">
        <v>823</v>
      </c>
      <c r="E233" s="7">
        <f>919867569913</f>
        <v>919867569913</v>
      </c>
      <c r="F233" s="15" t="s">
        <v>824</v>
      </c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5" t="s">
        <v>825</v>
      </c>
      <c r="B234" s="5" t="s">
        <v>826</v>
      </c>
      <c r="C234" s="14" t="s">
        <v>827</v>
      </c>
      <c r="D234" s="5" t="s">
        <v>828</v>
      </c>
      <c r="E234" s="7">
        <f>919885724709</f>
        <v>919885724709</v>
      </c>
      <c r="F234" s="15" t="s">
        <v>829</v>
      </c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5" t="s">
        <v>830</v>
      </c>
      <c r="B235" s="5" t="s">
        <v>831</v>
      </c>
      <c r="C235" s="14" t="s">
        <v>832</v>
      </c>
      <c r="D235" s="5" t="s">
        <v>59</v>
      </c>
      <c r="E235" s="7">
        <f>918130143399</f>
        <v>918130143399</v>
      </c>
      <c r="F235" s="5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5" t="s">
        <v>833</v>
      </c>
      <c r="B236" s="5" t="s">
        <v>834</v>
      </c>
      <c r="C236" s="14" t="s">
        <v>835</v>
      </c>
      <c r="D236" s="5" t="s">
        <v>836</v>
      </c>
      <c r="E236" s="7">
        <v>9.19818863331E11</v>
      </c>
      <c r="F236" s="5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5" t="s">
        <v>837</v>
      </c>
      <c r="B237" s="5"/>
      <c r="C237" s="14" t="s">
        <v>838</v>
      </c>
      <c r="D237" s="5" t="s">
        <v>701</v>
      </c>
      <c r="E237" s="5"/>
      <c r="F237" s="15" t="s">
        <v>839</v>
      </c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5" t="s">
        <v>683</v>
      </c>
      <c r="B238" s="5"/>
      <c r="C238" s="14" t="s">
        <v>205</v>
      </c>
      <c r="D238" s="5" t="s">
        <v>840</v>
      </c>
      <c r="E238" s="7">
        <v>9.902021505E9</v>
      </c>
      <c r="F238" s="5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5" t="s">
        <v>841</v>
      </c>
      <c r="B239" s="5"/>
      <c r="C239" s="14" t="s">
        <v>842</v>
      </c>
      <c r="D239" s="5" t="s">
        <v>843</v>
      </c>
      <c r="E239" s="5"/>
      <c r="F239" s="5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5" t="s">
        <v>844</v>
      </c>
      <c r="B240" s="5" t="s">
        <v>845</v>
      </c>
      <c r="C240" s="14" t="s">
        <v>846</v>
      </c>
      <c r="D240" s="5" t="s">
        <v>847</v>
      </c>
      <c r="E240" s="5" t="s">
        <v>848</v>
      </c>
      <c r="F240" s="15" t="s">
        <v>750</v>
      </c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5" t="s">
        <v>477</v>
      </c>
      <c r="B241" s="5" t="s">
        <v>849</v>
      </c>
      <c r="C241" s="14" t="s">
        <v>850</v>
      </c>
      <c r="D241" s="5" t="s">
        <v>479</v>
      </c>
      <c r="E241" s="7">
        <f>919849200498</f>
        <v>919849200498</v>
      </c>
      <c r="F241" s="15" t="s">
        <v>851</v>
      </c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5" t="s">
        <v>565</v>
      </c>
      <c r="B242" s="5"/>
      <c r="C242" s="14" t="s">
        <v>852</v>
      </c>
      <c r="D242" s="5" t="s">
        <v>567</v>
      </c>
      <c r="E242" s="7">
        <f>918433726750</f>
        <v>918433726750</v>
      </c>
      <c r="F242" s="15" t="s">
        <v>853</v>
      </c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5" t="s">
        <v>854</v>
      </c>
      <c r="B243" s="5" t="s">
        <v>855</v>
      </c>
      <c r="C243" s="14" t="s">
        <v>856</v>
      </c>
      <c r="D243" s="5" t="s">
        <v>40</v>
      </c>
      <c r="E243" s="7">
        <f>918886522230</f>
        <v>918886522230</v>
      </c>
      <c r="F243" s="15" t="s">
        <v>857</v>
      </c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5" t="s">
        <v>858</v>
      </c>
      <c r="B244" s="5" t="s">
        <v>859</v>
      </c>
      <c r="C244" s="14" t="s">
        <v>860</v>
      </c>
      <c r="D244" s="5" t="s">
        <v>861</v>
      </c>
      <c r="E244" s="7">
        <v>9.686570848E9</v>
      </c>
      <c r="F244" s="15" t="s">
        <v>862</v>
      </c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5" t="s">
        <v>863</v>
      </c>
      <c r="B245" s="5"/>
      <c r="C245" s="14" t="s">
        <v>864</v>
      </c>
      <c r="D245" s="5" t="s">
        <v>567</v>
      </c>
      <c r="E245" s="7">
        <v>9.19704022433E11</v>
      </c>
      <c r="F245" s="15" t="s">
        <v>865</v>
      </c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5" t="s">
        <v>401</v>
      </c>
      <c r="B246" s="5" t="s">
        <v>866</v>
      </c>
      <c r="C246" s="14" t="s">
        <v>867</v>
      </c>
      <c r="D246" s="5" t="s">
        <v>403</v>
      </c>
      <c r="E246" s="7">
        <v>9.19811900968E11</v>
      </c>
      <c r="F246" s="15" t="s">
        <v>868</v>
      </c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5" t="s">
        <v>869</v>
      </c>
      <c r="B247" s="5" t="s">
        <v>870</v>
      </c>
      <c r="C247" s="14" t="s">
        <v>871</v>
      </c>
      <c r="D247" s="5" t="s">
        <v>872</v>
      </c>
      <c r="E247" s="5" t="s">
        <v>873</v>
      </c>
      <c r="F247" s="15" t="s">
        <v>874</v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5" t="s">
        <v>875</v>
      </c>
      <c r="B248" s="5"/>
      <c r="C248" s="14" t="s">
        <v>876</v>
      </c>
      <c r="D248" s="5" t="s">
        <v>877</v>
      </c>
      <c r="E248" s="7">
        <f>919560212288</f>
        <v>919560212288</v>
      </c>
      <c r="F248" s="15" t="s">
        <v>878</v>
      </c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5" t="s">
        <v>879</v>
      </c>
      <c r="B249" s="5"/>
      <c r="C249" s="14" t="s">
        <v>880</v>
      </c>
      <c r="D249" s="5" t="s">
        <v>881</v>
      </c>
      <c r="E249" s="5"/>
      <c r="F249" s="5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5"/>
      <c r="B250" s="5"/>
      <c r="C250" s="5"/>
      <c r="D250" s="5"/>
      <c r="E250" s="5"/>
      <c r="F250" s="5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5" t="s">
        <v>882</v>
      </c>
      <c r="B251" s="5" t="s">
        <v>883</v>
      </c>
      <c r="C251" s="5"/>
      <c r="D251" s="5" t="s">
        <v>884</v>
      </c>
      <c r="E251" s="5"/>
      <c r="F251" s="15" t="s">
        <v>885</v>
      </c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5"/>
      <c r="B252" s="5"/>
      <c r="C252" s="5"/>
      <c r="D252" s="5"/>
      <c r="E252" s="5"/>
      <c r="F252" s="5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23" t="s">
        <v>886</v>
      </c>
      <c r="B253" s="5"/>
      <c r="C253" s="24" t="s">
        <v>887</v>
      </c>
      <c r="D253" s="5" t="s">
        <v>888</v>
      </c>
      <c r="E253" s="16">
        <v>9.769607467E9</v>
      </c>
      <c r="F253" s="15" t="s">
        <v>889</v>
      </c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23" t="s">
        <v>890</v>
      </c>
      <c r="B254" s="5"/>
      <c r="C254" s="25" t="s">
        <v>891</v>
      </c>
      <c r="D254" s="23" t="s">
        <v>892</v>
      </c>
      <c r="E254" s="16">
        <v>7.738356798E9</v>
      </c>
      <c r="F254" s="26" t="s">
        <v>893</v>
      </c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27" t="s">
        <v>894</v>
      </c>
      <c r="B255" s="5"/>
      <c r="C255" s="18" t="s">
        <v>895</v>
      </c>
      <c r="D255" s="28" t="s">
        <v>896</v>
      </c>
      <c r="E255" s="5"/>
      <c r="F255" s="15" t="s">
        <v>897</v>
      </c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26" t="s">
        <v>898</v>
      </c>
      <c r="B256" s="5"/>
      <c r="C256" s="24" t="s">
        <v>899</v>
      </c>
      <c r="D256" s="23" t="s">
        <v>900</v>
      </c>
      <c r="E256" s="16">
        <v>9.49119981E9</v>
      </c>
      <c r="F256" s="15" t="s">
        <v>901</v>
      </c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5"/>
      <c r="B257" s="5"/>
      <c r="C257" s="5"/>
      <c r="D257" s="5"/>
      <c r="E257" s="5"/>
      <c r="F257" s="5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27" t="s">
        <v>902</v>
      </c>
      <c r="B258" s="5"/>
      <c r="C258" s="14" t="s">
        <v>903</v>
      </c>
      <c r="D258" s="5" t="s">
        <v>904</v>
      </c>
      <c r="E258" s="16">
        <f>+917259000149</f>
        <v>917259000149</v>
      </c>
      <c r="F258" s="15" t="s">
        <v>905</v>
      </c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23" t="s">
        <v>906</v>
      </c>
      <c r="B259" s="5"/>
      <c r="C259" s="24" t="s">
        <v>907</v>
      </c>
      <c r="D259" s="5" t="s">
        <v>908</v>
      </c>
      <c r="E259" s="16">
        <v>8.886838012E9</v>
      </c>
      <c r="F259" s="15" t="s">
        <v>909</v>
      </c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autoFilter ref="$A$1:$Z$1000">
    <sortState ref="A1:Z1000">
      <sortCondition descending="1" sortBy="cellColor" ref="A1:A1000" dxfId="1"/>
    </sortState>
  </autoFilter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9"/>
    <hyperlink r:id="rId28" ref="F30"/>
    <hyperlink r:id="rId29" ref="F31"/>
    <hyperlink r:id="rId30" ref="F32"/>
    <hyperlink r:id="rId31" ref="F34"/>
    <hyperlink r:id="rId32" ref="F35"/>
    <hyperlink r:id="rId33" ref="F36"/>
    <hyperlink r:id="rId34" ref="F37"/>
    <hyperlink r:id="rId35" ref="F38"/>
    <hyperlink r:id="rId36" ref="F39"/>
    <hyperlink r:id="rId37" ref="F40"/>
    <hyperlink r:id="rId38" ref="F41"/>
    <hyperlink r:id="rId39" ref="F42"/>
    <hyperlink r:id="rId40" ref="F43"/>
    <hyperlink r:id="rId41" ref="F44"/>
    <hyperlink r:id="rId42" ref="F45"/>
    <hyperlink r:id="rId43" ref="F46"/>
    <hyperlink r:id="rId44" ref="F47"/>
    <hyperlink r:id="rId45" ref="F48"/>
    <hyperlink r:id="rId46" ref="F49"/>
    <hyperlink r:id="rId47" ref="F50"/>
    <hyperlink r:id="rId48" ref="F51"/>
    <hyperlink r:id="rId49" ref="F52"/>
    <hyperlink r:id="rId50" ref="F53"/>
    <hyperlink r:id="rId51" ref="F54"/>
    <hyperlink r:id="rId52" ref="F55"/>
    <hyperlink r:id="rId53" ref="F56"/>
    <hyperlink r:id="rId54" ref="F57"/>
    <hyperlink r:id="rId55" ref="F58"/>
    <hyperlink r:id="rId56" ref="F59"/>
    <hyperlink r:id="rId57" ref="F60"/>
    <hyperlink r:id="rId58" ref="F61"/>
    <hyperlink r:id="rId59" ref="F62"/>
    <hyperlink r:id="rId60" ref="F63"/>
    <hyperlink r:id="rId61" ref="F64"/>
    <hyperlink r:id="rId62" ref="F65"/>
    <hyperlink r:id="rId63" ref="F66"/>
    <hyperlink r:id="rId64" ref="F67"/>
    <hyperlink r:id="rId65" ref="F68"/>
    <hyperlink r:id="rId66" ref="F69"/>
    <hyperlink r:id="rId67" ref="F70"/>
    <hyperlink r:id="rId68" ref="F71"/>
    <hyperlink r:id="rId69" ref="F72"/>
    <hyperlink r:id="rId70" ref="F73"/>
    <hyperlink r:id="rId71" ref="F74"/>
    <hyperlink r:id="rId72" ref="F75"/>
    <hyperlink r:id="rId73" ref="F76"/>
    <hyperlink r:id="rId74" ref="F77"/>
    <hyperlink r:id="rId75" ref="F78"/>
    <hyperlink r:id="rId76" ref="F79"/>
    <hyperlink r:id="rId77" ref="F80"/>
    <hyperlink r:id="rId78" ref="F81"/>
    <hyperlink r:id="rId79" ref="F82"/>
    <hyperlink r:id="rId80" ref="F83"/>
    <hyperlink r:id="rId81" ref="F84"/>
    <hyperlink r:id="rId82" ref="F85"/>
    <hyperlink r:id="rId83" ref="F86"/>
    <hyperlink r:id="rId84" ref="F87"/>
    <hyperlink r:id="rId85" ref="F88"/>
    <hyperlink r:id="rId86" ref="F91"/>
    <hyperlink r:id="rId87" ref="F92"/>
    <hyperlink r:id="rId88" ref="F93"/>
    <hyperlink r:id="rId89" ref="F95"/>
    <hyperlink r:id="rId90" ref="F96"/>
    <hyperlink r:id="rId91" ref="F106"/>
    <hyperlink r:id="rId92" ref="F114"/>
    <hyperlink r:id="rId93" ref="F119"/>
    <hyperlink r:id="rId94" ref="C136"/>
    <hyperlink r:id="rId95" ref="C141"/>
    <hyperlink r:id="rId96" ref="C144"/>
    <hyperlink r:id="rId97" ref="F145"/>
    <hyperlink r:id="rId98" ref="D153"/>
    <hyperlink r:id="rId99" ref="D155"/>
    <hyperlink r:id="rId100" ref="C157"/>
    <hyperlink r:id="rId101" ref="C167"/>
    <hyperlink r:id="rId102" ref="C171"/>
    <hyperlink r:id="rId103" ref="F173"/>
    <hyperlink r:id="rId104" ref="C179"/>
    <hyperlink r:id="rId105" ref="C181"/>
    <hyperlink r:id="rId106" ref="F200"/>
    <hyperlink r:id="rId107" ref="F209"/>
    <hyperlink r:id="rId108" ref="F210"/>
    <hyperlink r:id="rId109" ref="F212"/>
    <hyperlink r:id="rId110" ref="F213"/>
    <hyperlink r:id="rId111" ref="F214"/>
    <hyperlink r:id="rId112" ref="F215"/>
    <hyperlink r:id="rId113" ref="F216"/>
    <hyperlink r:id="rId114" ref="F217"/>
    <hyperlink r:id="rId115" ref="F218"/>
    <hyperlink r:id="rId116" ref="F219"/>
    <hyperlink r:id="rId117" ref="F220"/>
    <hyperlink r:id="rId118" ref="F221"/>
    <hyperlink r:id="rId119" ref="F222"/>
    <hyperlink r:id="rId120" ref="F223"/>
    <hyperlink r:id="rId121" ref="F224"/>
    <hyperlink r:id="rId122" ref="F225"/>
    <hyperlink r:id="rId123" ref="F226"/>
    <hyperlink r:id="rId124" ref="F227"/>
    <hyperlink r:id="rId125" ref="F228"/>
    <hyperlink r:id="rId126" ref="F229"/>
    <hyperlink r:id="rId127" ref="F230"/>
    <hyperlink r:id="rId128" ref="F231"/>
    <hyperlink r:id="rId129" ref="F232"/>
    <hyperlink r:id="rId130" ref="F233"/>
    <hyperlink r:id="rId131" ref="F234"/>
    <hyperlink r:id="rId132" ref="F237"/>
    <hyperlink r:id="rId133" ref="F240"/>
    <hyperlink r:id="rId134" ref="F241"/>
    <hyperlink r:id="rId135" ref="F242"/>
    <hyperlink r:id="rId136" ref="F243"/>
    <hyperlink r:id="rId137" ref="F244"/>
    <hyperlink r:id="rId138" ref="F245"/>
    <hyperlink r:id="rId139" ref="F246"/>
    <hyperlink r:id="rId140" ref="F247"/>
    <hyperlink r:id="rId141" ref="F248"/>
    <hyperlink r:id="rId142" ref="F251"/>
    <hyperlink r:id="rId143" ref="F253"/>
    <hyperlink r:id="rId144" ref="F254"/>
    <hyperlink r:id="rId145" ref="C255"/>
    <hyperlink r:id="rId146" ref="F255"/>
    <hyperlink r:id="rId147" ref="A256"/>
    <hyperlink r:id="rId148" ref="F256"/>
    <hyperlink r:id="rId149" ref="F258"/>
    <hyperlink r:id="rId150" ref="F259"/>
  </hyperlinks>
  <drawing r:id="rId151"/>
</worksheet>
</file>