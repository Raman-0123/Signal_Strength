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<sst xmlns="http://schemas.openxmlformats.org/spreadsheetml/2006/main" count="2237" uniqueCount="1865">
  <si>
    <t xml:space="preserve">Name </t>
  </si>
  <si>
    <t>Company</t>
  </si>
  <si>
    <t>Designation</t>
  </si>
  <si>
    <t>Contact No.</t>
  </si>
  <si>
    <t>Email</t>
  </si>
  <si>
    <t>Linkedin</t>
  </si>
  <si>
    <t xml:space="preserve">Status </t>
  </si>
  <si>
    <t>Ayaskant Sarangi</t>
  </si>
  <si>
    <t>Aditya Pal Singh</t>
  </si>
  <si>
    <t>Mphasis</t>
  </si>
  <si>
    <t>CHRO</t>
  </si>
  <si>
    <t>The Standard</t>
  </si>
  <si>
    <t>Senior Director - Head Talent Acquisition</t>
  </si>
  <si>
    <t>aditya.singh@standard.com</t>
  </si>
  <si>
    <t>https://www.linkedin.com/in/adityasingh/</t>
  </si>
  <si>
    <t>ayaskant.sarangi@mphasis.com</t>
  </si>
  <si>
    <t>https://www.linkedin.com/in/ayaskant-sarangi-79179314/</t>
  </si>
  <si>
    <t>NO pickup , text, organisation wont allow</t>
  </si>
  <si>
    <t>Uttam Kumar Sanghi</t>
  </si>
  <si>
    <t>Zillow</t>
  </si>
  <si>
    <t>Head of Talent Acquisition</t>
  </si>
  <si>
    <t>uttamsanghi@gmail.com</t>
  </si>
  <si>
    <t>https://www.linkedin.com/in/uttamkumarsanghi/</t>
  </si>
  <si>
    <t>Maninder Kapoor</t>
  </si>
  <si>
    <t>Syngene International Limited</t>
  </si>
  <si>
    <t>Mayank Singh</t>
  </si>
  <si>
    <t>Version 1</t>
  </si>
  <si>
    <t>mayank.singh@version1.com, mayankrocks91@gmail.com</t>
  </si>
  <si>
    <t>https://www.linkedin.com/in/mayank-singh-43543788/</t>
  </si>
  <si>
    <t>https://www.linkedin.com/in/maninder-kapoor-puri/</t>
  </si>
  <si>
    <t xml:space="preserve">Travel , somene else </t>
  </si>
  <si>
    <t>Anju Sansoa</t>
  </si>
  <si>
    <t>CSC</t>
  </si>
  <si>
    <t>Head of TA India/APAC and Global TA Ops</t>
  </si>
  <si>
    <t>9845171125, 9740000433</t>
  </si>
  <si>
    <t>anju.sansoa@cscglobal.com</t>
  </si>
  <si>
    <t>https://www.linkedin.com/in/anju-sansoa-7053aa29/</t>
  </si>
  <si>
    <t>Remadevi Thottathil</t>
  </si>
  <si>
    <t>Latentview Analytics</t>
  </si>
  <si>
    <t>https://www.linkedin.com/in/remadevi-thottathil-8939a515/</t>
  </si>
  <si>
    <t>bot</t>
  </si>
  <si>
    <t>Rakesh Prasad</t>
  </si>
  <si>
    <t xml:space="preserve">Tata Elxsi </t>
  </si>
  <si>
    <t>919900004164, 918066066010</t>
  </si>
  <si>
    <t>reach2rakesh@gmail.com</t>
  </si>
  <si>
    <t>https://www.linkedin.com/in/reach2rakesh/</t>
  </si>
  <si>
    <t>no pickup , text sent</t>
  </si>
  <si>
    <t>Swapna Jadhav</t>
  </si>
  <si>
    <t>Sumanth Nayak</t>
  </si>
  <si>
    <t>Cisco</t>
  </si>
  <si>
    <t>Societe Generale Global Solution Centre</t>
  </si>
  <si>
    <t>Chief Human Resources Officer</t>
  </si>
  <si>
    <t>Leader -  Emerging Talent Recruiting(LEFT ORGANISATION)</t>
  </si>
  <si>
    <t xml:space="preserve"> 98801 00793</t>
  </si>
  <si>
    <t>https://www.linkedin.com/in/sumanthnayak/</t>
  </si>
  <si>
    <t>sapjadha@cisco.com</t>
  </si>
  <si>
    <t>https://www.linkedin.com/in/swapna-jadhav-7794563/</t>
  </si>
  <si>
    <t>Raghavendra Shetty</t>
  </si>
  <si>
    <t>Oracle</t>
  </si>
  <si>
    <t xml:space="preserve">Senior Director Talent Acquisition, OCI - JAPAC &amp; EMEA </t>
  </si>
  <si>
    <t>raghavendra.shetty@oracle.com</t>
  </si>
  <si>
    <t>https://www.linkedin.com/in/raghavendrashetty/</t>
  </si>
  <si>
    <t>Abhishek Mehrotra</t>
  </si>
  <si>
    <t>text sent , no pickup</t>
  </si>
  <si>
    <t>Charu Chandra</t>
  </si>
  <si>
    <t>SAP Labs India</t>
  </si>
  <si>
    <t>Head Talent Discovery India</t>
  </si>
  <si>
    <t>charu.chandra@sap.com</t>
  </si>
  <si>
    <t>Yubi group</t>
  </si>
  <si>
    <t>https://www.linkedin.com/in/charu-chandra-7170672/</t>
  </si>
  <si>
    <t>Text sent , no pickup</t>
  </si>
  <si>
    <t>Harsha Nagaraj</t>
  </si>
  <si>
    <t>Walmart Global Tech India</t>
  </si>
  <si>
    <t>India Talent Acquisition Leader</t>
  </si>
  <si>
    <t>https://www.linkedin.com/in/harshanraj/</t>
  </si>
  <si>
    <t>abhishek.mehrotra@go-yubi.com</t>
  </si>
  <si>
    <t>https://www.linkedin.com/in/abhishek77</t>
  </si>
  <si>
    <t>Details over wp</t>
  </si>
  <si>
    <t>Ankur Agrawal</t>
  </si>
  <si>
    <t>Adobe</t>
  </si>
  <si>
    <t>Senior Manager - Talent Acquisition</t>
  </si>
  <si>
    <t>anagraw@adobe.com, garg1232004@gmail.com</t>
  </si>
  <si>
    <t>https://www.linkedin.com/in/agrlankur/</t>
  </si>
  <si>
    <t>Mail</t>
  </si>
  <si>
    <t>interested</t>
  </si>
  <si>
    <t>Mohan Kumar</t>
  </si>
  <si>
    <t>Intuit</t>
  </si>
  <si>
    <t>Director Talent Acquisition</t>
  </si>
  <si>
    <t>mohan_kumar@intuit.com, mohankumar03@gmail.com</t>
  </si>
  <si>
    <t>https://www.linkedin.com/in/mohankumark/</t>
  </si>
  <si>
    <t>Aparna C</t>
  </si>
  <si>
    <t>Torry Harris Group</t>
  </si>
  <si>
    <t xml:space="preserve">CHRO </t>
  </si>
  <si>
    <t>https://www.linkedin.com/in/aparna2/</t>
  </si>
  <si>
    <t>No Pickup , text sent</t>
  </si>
  <si>
    <t>Chitra S</t>
  </si>
  <si>
    <t>VMware</t>
  </si>
  <si>
    <t>Talent Acquisition Leader - Global Product</t>
  </si>
  <si>
    <t>no not found</t>
  </si>
  <si>
    <t>chitrasubramani207@gmail.com</t>
  </si>
  <si>
    <t>https://www.linkedin.com/in/chitra-s-1391a44/</t>
  </si>
  <si>
    <t xml:space="preserve">Mail </t>
  </si>
  <si>
    <t>Pramidha Reddy Billa</t>
  </si>
  <si>
    <t>Airbus</t>
  </si>
  <si>
    <t>Priya Cherian</t>
  </si>
  <si>
    <t xml:space="preserve">Walmart </t>
  </si>
  <si>
    <t>https://www.linkedin.com/in/priya-cherian-a461683/</t>
  </si>
  <si>
    <t>pramida.billa@airbus.com</t>
  </si>
  <si>
    <t>https://www.linkedin.com/in/pramidha-reddy-billa-648419103/</t>
  </si>
  <si>
    <t>Sweta Jaiswal</t>
  </si>
  <si>
    <t xml:space="preserve">Rolls-Royce </t>
  </si>
  <si>
    <t>Vidya Munirathnam</t>
  </si>
  <si>
    <t>Talent Acquisition leader- APAC</t>
  </si>
  <si>
    <t>Lowe's India</t>
  </si>
  <si>
    <t>sweta.jaiswal@rolls-royce.com, swetajaiswal123@gmail.com</t>
  </si>
  <si>
    <t>VP-HR</t>
  </si>
  <si>
    <t>https://www.linkedin.com/in/swetajaiswal/</t>
  </si>
  <si>
    <t>https://www.linkedin.com/in/vidyamunirathnam/</t>
  </si>
  <si>
    <t>Prashanth N</t>
  </si>
  <si>
    <t>ABB</t>
  </si>
  <si>
    <t>Global Manager - Talent Acquisition Services</t>
  </si>
  <si>
    <t>manager</t>
  </si>
  <si>
    <t>https://www.linkedin.com/in/pngowda/</t>
  </si>
  <si>
    <t>mailed</t>
  </si>
  <si>
    <t>Srikanth Vachaspati</t>
  </si>
  <si>
    <t>Siemens Technology &amp; Services</t>
  </si>
  <si>
    <t>Vice President and Head - People &amp; Organization</t>
  </si>
  <si>
    <t>Sangeetha Anand</t>
  </si>
  <si>
    <t>Honeywell Technology Solutions</t>
  </si>
  <si>
    <t>srikanth.vachaspati@siemens.com</t>
  </si>
  <si>
    <t>Talent Acquisition Specialist</t>
  </si>
  <si>
    <t>https://www.linkedin.com/in/srikanthvachaspati/</t>
  </si>
  <si>
    <t>https://www.linkedin.com/in/sangeetha-anand-b937543/</t>
  </si>
  <si>
    <t>Niharika Mohan</t>
  </si>
  <si>
    <t>Schneider Electric India</t>
  </si>
  <si>
    <t>Gopala Krishnaiah</t>
  </si>
  <si>
    <t>Siemens Technology &amp; R&amp;D</t>
  </si>
  <si>
    <t>Lead Talent Acquisition Specialist</t>
  </si>
  <si>
    <t>https://www.linkedin.com/in/gopala-krishnaiah-n-7821b757/</t>
  </si>
  <si>
    <t>https://www.linkedin.com/in/niharika-mohan-94118723/</t>
  </si>
  <si>
    <t>Govind M.</t>
  </si>
  <si>
    <t>Chevron ENGINE</t>
  </si>
  <si>
    <t>https://www.linkedin.com/in/govind-m-30a0a25/</t>
  </si>
  <si>
    <t>Govindraj M K</t>
  </si>
  <si>
    <t xml:space="preserve">Myntra </t>
  </si>
  <si>
    <t>Chief Human Resources Officer and CSR Leader</t>
  </si>
  <si>
    <t>https://www.linkedin.com/in/govindrajmarath/</t>
  </si>
  <si>
    <t>call cannot be connected</t>
  </si>
  <si>
    <t>Vishal Tiwari</t>
  </si>
  <si>
    <t>Intel India Design Center</t>
  </si>
  <si>
    <t>Senior Manager Talent Acquisition</t>
  </si>
  <si>
    <t>https://www.linkedin.com/in/vishal-tiwari-3a712a33/</t>
  </si>
  <si>
    <t>Majid Ali Khan</t>
  </si>
  <si>
    <t>CMS IT services</t>
  </si>
  <si>
    <t>Head of Talent Acquisition &amp; HR [CHRO]</t>
  </si>
  <si>
    <t>https://www.linkedin.com/in/majidak/</t>
  </si>
  <si>
    <t>Amaresh Reddy</t>
  </si>
  <si>
    <t>AMD India</t>
  </si>
  <si>
    <t>Talent Acquisition Leader</t>
  </si>
  <si>
    <t>amaresh.reddy@amd.com</t>
  </si>
  <si>
    <t>https://www.linkedin.com/in/amaresh/</t>
  </si>
  <si>
    <t>to recommend someone</t>
  </si>
  <si>
    <t>Mitalee Dabral</t>
  </si>
  <si>
    <t xml:space="preserve">Wayfair India </t>
  </si>
  <si>
    <t xml:space="preserve">Country HR Leader </t>
  </si>
  <si>
    <t>https://www.linkedin.com/in/mitalee/</t>
  </si>
  <si>
    <t>Ravi Kumar H</t>
  </si>
  <si>
    <t>Qualcomm</t>
  </si>
  <si>
    <t>Talent Acquisition Lead-Contingent Workforce</t>
  </si>
  <si>
    <t>rhkumar@qti.qualcomm.com</t>
  </si>
  <si>
    <t>https://www.linkedin.com/in/ravihkumar/</t>
  </si>
  <si>
    <t>Shefali Rai</t>
  </si>
  <si>
    <t>Polik Mishra</t>
  </si>
  <si>
    <t>NVIDIA</t>
  </si>
  <si>
    <t>Head of Global Talent Acquisition</t>
  </si>
  <si>
    <t>pmishra@nvidia.com</t>
  </si>
  <si>
    <t>https://www.linkedin.com/in/polik-mishra-95bb3236/</t>
  </si>
  <si>
    <t>InMobi</t>
  </si>
  <si>
    <t>Human Resource Senior Director</t>
  </si>
  <si>
    <t>919535766774
919900119923</t>
  </si>
  <si>
    <t>https://www.linkedin.com/in/shefalirai/</t>
  </si>
  <si>
    <t>Ramit James Ash</t>
  </si>
  <si>
    <t>Lam Research</t>
  </si>
  <si>
    <t>Head - India Talent Acquisition</t>
  </si>
  <si>
    <t>ramit.ash@lamresearch.com</t>
  </si>
  <si>
    <t>https://www.linkedin.com/in/ramit-james-ash-4716b641/</t>
  </si>
  <si>
    <t>Shreya Bhagwanth</t>
  </si>
  <si>
    <t>Sindhu Nanaiah</t>
  </si>
  <si>
    <t>AstraZeneca</t>
  </si>
  <si>
    <t>Talent Acquisition Lead</t>
  </si>
  <si>
    <t>sindhu.nanaiah@astrazeneca.com</t>
  </si>
  <si>
    <t>https://www.linkedin.com/in/sindhunanaiah/</t>
  </si>
  <si>
    <t>3M</t>
  </si>
  <si>
    <t xml:space="preserve">CHRO-APAC  Total Rewards Leader </t>
  </si>
  <si>
    <t>https://www.linkedin.com/in/shreya-bhagwanth-ab8b4314/</t>
  </si>
  <si>
    <t>Sarita Mishra</t>
  </si>
  <si>
    <t xml:space="preserve">Johnson Controls </t>
  </si>
  <si>
    <t>Head Talent Acquisition - India</t>
  </si>
  <si>
    <t>sarita.mishra@jci.com</t>
  </si>
  <si>
    <t>https://www.linkedin.com/in/sarita-mish/</t>
  </si>
  <si>
    <t>not in town</t>
  </si>
  <si>
    <t>Aparna Srivastava</t>
  </si>
  <si>
    <t>Paytm</t>
  </si>
  <si>
    <t>Vice President Human Resources</t>
  </si>
  <si>
    <t>Seema Chand</t>
  </si>
  <si>
    <t>Baxter</t>
  </si>
  <si>
    <t>Head of Talent Acquisition, APAC</t>
  </si>
  <si>
    <t>seema_chand@baxter.com</t>
  </si>
  <si>
    <t>https://www.linkedin.com/in/seema-chand-8b27a34/</t>
  </si>
  <si>
    <t>https://www.linkedin.com/in/aparnasrivastava/</t>
  </si>
  <si>
    <t>Likitha Nanda</t>
  </si>
  <si>
    <t>Target</t>
  </si>
  <si>
    <t xml:space="preserve">Director Talent Acquisition </t>
  </si>
  <si>
    <t>likitha.nanda@target.com</t>
  </si>
  <si>
    <t>https://www.linkedin.com/in/likithananda/</t>
  </si>
  <si>
    <t>Raj (Basavraj) V.M</t>
  </si>
  <si>
    <t>Shwetha.R</t>
  </si>
  <si>
    <t>Tesco Bengaluru</t>
  </si>
  <si>
    <t>919449556079
918431466964</t>
  </si>
  <si>
    <t>r.shwetha@tesco.com, rshwethain1995@gmail.com</t>
  </si>
  <si>
    <t>https://www.linkedin.com/in/shwetha95/</t>
  </si>
  <si>
    <t>Nexteer Automotive - India Technical Center</t>
  </si>
  <si>
    <t>Director Human Resources</t>
  </si>
  <si>
    <t>Suresh Kumar S</t>
  </si>
  <si>
    <t>TVS Motor Company</t>
  </si>
  <si>
    <t xml:space="preserve">Global Talent Acquisition Lead </t>
  </si>
  <si>
    <t>s.suresh@tvsmotor.com</t>
  </si>
  <si>
    <t>https://www.linkedin.com/in/suresh-kumar-s-8411366/</t>
  </si>
  <si>
    <t>https://www.linkedin.com/in/raj-basavraj-v-m-753b601/</t>
  </si>
  <si>
    <t>Arpit Srivastava</t>
  </si>
  <si>
    <t>Unilever / Hindustan Unilever global teams</t>
  </si>
  <si>
    <t>Talent Acquisition Lead- GCC</t>
  </si>
  <si>
    <t>arpit.srivastava@unilever.com</t>
  </si>
  <si>
    <t>https://www.linkedin.com/in/arsriva4/</t>
  </si>
  <si>
    <t>to confirm by friday, to mail</t>
  </si>
  <si>
    <t>Sreekumar Kadavath</t>
  </si>
  <si>
    <t>Broadridge India</t>
  </si>
  <si>
    <t>Vice President, HR</t>
  </si>
  <si>
    <t>918861885885
919710402939
919087234075
919176818625
919791027535</t>
  </si>
  <si>
    <t>https://www.linkedin.com/in/sreekumarkadavath/</t>
  </si>
  <si>
    <t>Rohit Munjal</t>
  </si>
  <si>
    <t>Browserstack</t>
  </si>
  <si>
    <t>SVP &amp; Head Of People</t>
  </si>
  <si>
    <t>https://www.linkedin.com/in/munjalrohit/</t>
  </si>
  <si>
    <t>Procter &amp; Gamble</t>
  </si>
  <si>
    <t>Ravikannan S</t>
  </si>
  <si>
    <t>Talent Acquisition Lead (Digital)</t>
  </si>
  <si>
    <t>919740403604
919731411221</t>
  </si>
  <si>
    <t>ravikannan.s@gehealthcare.com</t>
  </si>
  <si>
    <t>https://www.linkedin.com/in/ravikannan/</t>
  </si>
  <si>
    <t>Pradipta Banerjee</t>
  </si>
  <si>
    <t>Emids</t>
  </si>
  <si>
    <t>Chief People Officer</t>
  </si>
  <si>
    <t>https://www.linkedin.com/in/pbaner/</t>
  </si>
  <si>
    <t>Rajat Adhikari</t>
  </si>
  <si>
    <t>Mastek</t>
  </si>
  <si>
    <t>VP &amp; Global Head of Talent Acquisition</t>
  </si>
  <si>
    <t>rajat.adhikari@mastek.com</t>
  </si>
  <si>
    <t>https://www.linkedin.com/in/rajatadhikari23/</t>
  </si>
  <si>
    <t>In London</t>
  </si>
  <si>
    <t>Anjali Raghuvanshi</t>
  </si>
  <si>
    <t>Randstad India</t>
  </si>
  <si>
    <t>917411024123
919620466687</t>
  </si>
  <si>
    <t>https://www.linkedin.com/in/anjaliraghuvanshi/</t>
  </si>
  <si>
    <t>Kallol Chakraborty</t>
  </si>
  <si>
    <t>L&amp;T Technology Services</t>
  </si>
  <si>
    <t>kallol.chakraborty@ltts.com</t>
  </si>
  <si>
    <t>https://www.linkedin.com/in/kallolta/</t>
  </si>
  <si>
    <t>Vipul Mehrotra</t>
  </si>
  <si>
    <t>Swiggy</t>
  </si>
  <si>
    <t>no issue</t>
  </si>
  <si>
    <t>Nilanjana Bhaduri</t>
  </si>
  <si>
    <t>vipul.mehrotra@swiggy.in</t>
  </si>
  <si>
    <t>Cyient</t>
  </si>
  <si>
    <t>https://www.linkedin.com/in/vipulvmehrotra/</t>
  </si>
  <si>
    <t>https://www.linkedin.com/in/kavitakurup/</t>
  </si>
  <si>
    <t>Gautam Shetty</t>
  </si>
  <si>
    <t>NatWest Group</t>
  </si>
  <si>
    <t>Head of Talent Acquisition (India)|JMO</t>
  </si>
  <si>
    <t>gautam.shetty@natwest.com</t>
  </si>
  <si>
    <t>https://www.linkedin.com/in/gautam-shetty-3421a28/</t>
  </si>
  <si>
    <t>Mahesh Kulkarni</t>
  </si>
  <si>
    <t>BrowserStack</t>
  </si>
  <si>
    <t>Senior Director - Talent Acquisition</t>
  </si>
  <si>
    <t>Sonali De Sarker</t>
  </si>
  <si>
    <t>919880831521
919739977231
919620678000
971559546360
918025578506</t>
  </si>
  <si>
    <t>mahesh.kulkarni@browserstack.com</t>
  </si>
  <si>
    <t>Epsilon India</t>
  </si>
  <si>
    <t>https://www.linkedin.com/in/maheshkulkarni2009/</t>
  </si>
  <si>
    <t>Sr. Vice President &amp; Head Human Resources</t>
  </si>
  <si>
    <t>919900123423
918041843438</t>
  </si>
  <si>
    <t>https://www.linkedin.com/in/sonali-de-sarker-b946a93/</t>
  </si>
  <si>
    <t>Arijit Bhattacharjee</t>
  </si>
  <si>
    <t>Whatfix</t>
  </si>
  <si>
    <t>Regional Head of Talent Acquisition | India, US, APAC &amp; EMEA</t>
  </si>
  <si>
    <t>Mamita Bhattacharjee</t>
  </si>
  <si>
    <t>Dassault Reliance Aerospace Ltd</t>
  </si>
  <si>
    <t>https://www.linkedin.com/in/mamitab/</t>
  </si>
  <si>
    <t>arijit.bhattacharjee@whatfix.com</t>
  </si>
  <si>
    <t>https://www.linkedin.com/in/arijitbhattacharjee/</t>
  </si>
  <si>
    <t>Naveen Narayanan</t>
  </si>
  <si>
    <t>Biocon</t>
  </si>
  <si>
    <t>Global CHRO</t>
  </si>
  <si>
    <t>https://www.linkedin.com/in/naveen-narayanan-06797958/</t>
  </si>
  <si>
    <t>Abhijit Kulkarni</t>
  </si>
  <si>
    <t>Freshworks</t>
  </si>
  <si>
    <t>Director,  Global Talent Acquisition Operations</t>
  </si>
  <si>
    <t>abhijit.kulkarni@freshworks.com</t>
  </si>
  <si>
    <t>https://www.linkedin.com/in/abhikulkarni0205/</t>
  </si>
  <si>
    <t>Sumit Premi</t>
  </si>
  <si>
    <t>Razorpay</t>
  </si>
  <si>
    <t>Senior Director &amp; Global Head: Talent Acquisition</t>
  </si>
  <si>
    <t xml:space="preserve"> 88263 63651</t>
  </si>
  <si>
    <t>sumit.premi@razorpay.com</t>
  </si>
  <si>
    <t>https://www.linkedin.com/in/sumitpremi/</t>
  </si>
  <si>
    <t>Divaker Pulkuri</t>
  </si>
  <si>
    <t>Astellas</t>
  </si>
  <si>
    <t>Snehal Pawar</t>
  </si>
  <si>
    <t>Mindtickle</t>
  </si>
  <si>
    <t>People Partner – GCC India</t>
  </si>
  <si>
    <t>snehal.pawar@mindtickle.com</t>
  </si>
  <si>
    <t>https://www.linkedin.com/in/snehalpawar1/</t>
  </si>
  <si>
    <t>https://www.linkedin.com/in/divaker-p-31469015/</t>
  </si>
  <si>
    <t xml:space="preserve">Thangaraj Vinayagmoorthy
</t>
  </si>
  <si>
    <t>Wayfair</t>
  </si>
  <si>
    <t>919632323364
917899706889</t>
  </si>
  <si>
    <t>tvinayagmoorthy@wayfair.com</t>
  </si>
  <si>
    <t>https://www.linkedin.com/in/thangarajvinayaga/</t>
  </si>
  <si>
    <t>not possible</t>
  </si>
  <si>
    <t>Abhinav Mishra</t>
  </si>
  <si>
    <t>HighRadius</t>
  </si>
  <si>
    <t>Vice President Talent Acquisition</t>
  </si>
  <si>
    <t>abhinav.mishra@highradius.com</t>
  </si>
  <si>
    <t>Richard Lobo</t>
  </si>
  <si>
    <t>https://www.linkedin.com/in/abhinavjee/</t>
  </si>
  <si>
    <t>Tech Mahindra</t>
  </si>
  <si>
    <t>918041167186
919845082094</t>
  </si>
  <si>
    <t>https://www.linkedin.com/in/loborichard/</t>
  </si>
  <si>
    <t>Taruna Reddy</t>
  </si>
  <si>
    <t>Arm</t>
  </si>
  <si>
    <t>TA Leader - APAC &amp; India</t>
  </si>
  <si>
    <t>taruna.reddy@arm.com</t>
  </si>
  <si>
    <t>https://www.linkedin.com/in/tarunareddy/</t>
  </si>
  <si>
    <t>Bhuvaneswar Naik</t>
  </si>
  <si>
    <t>Tata Electronics Pvt. Ltd</t>
  </si>
  <si>
    <t>919886396086
918025524848
919620442999
918041397422
918041396936</t>
  </si>
  <si>
    <t>https://www.linkedin.com/in/bhuvan/</t>
  </si>
  <si>
    <t>Chirandeep Shetty</t>
  </si>
  <si>
    <t>Visa</t>
  </si>
  <si>
    <t>Senior Director Global Talent Acquisition</t>
  </si>
  <si>
    <t>cshetty@visa.com</t>
  </si>
  <si>
    <t>https://www.linkedin.com/in/chirandeepshetty/</t>
  </si>
  <si>
    <t>divakar.pulkari@</t>
  </si>
  <si>
    <t>Dhirendra Nath</t>
  </si>
  <si>
    <t>Altimetrik</t>
  </si>
  <si>
    <t>917259744439, 918046711802, 919538881500, 918030950115</t>
  </si>
  <si>
    <t>https://www.linkedin.com/in/dhirendranath/</t>
  </si>
  <si>
    <t>Chargebee</t>
  </si>
  <si>
    <t>sarmita.mukherjee@chargebee.com</t>
  </si>
  <si>
    <t>https://www.linkedin.com/in/sarmita-mukherjee-8848a823/</t>
  </si>
  <si>
    <t>Vithal Acharya</t>
  </si>
  <si>
    <t>Microland</t>
  </si>
  <si>
    <t>https://www.linkedin.com/in/vithal-acharya-2651618/</t>
  </si>
  <si>
    <t>Venkatesh Vemulamada</t>
  </si>
  <si>
    <t>PhonePe</t>
  </si>
  <si>
    <t>Head of Talent Acquisition - Tech &amp; Product</t>
  </si>
  <si>
    <t>venkatesh.v@phonepe.com</t>
  </si>
  <si>
    <t>ohw, msged</t>
  </si>
  <si>
    <t>https://www.linkedin.com/in/venkateshvemulamada/</t>
  </si>
  <si>
    <t>Sameer Nandan M R</t>
  </si>
  <si>
    <t>CIEL HR</t>
  </si>
  <si>
    <t>Group CHRO</t>
  </si>
  <si>
    <t xml:space="preserve">Amit Chandra
</t>
  </si>
  <si>
    <t>Flipkart</t>
  </si>
  <si>
    <t>Director - Talent Acquisition</t>
  </si>
  <si>
    <t>wrong no</t>
  </si>
  <si>
    <t>https://www.linkedin.com/in/amit-chandra-31aab6a2/</t>
  </si>
  <si>
    <t>sameer</t>
  </si>
  <si>
    <t>https://www.linkedin.com/in/sameernandan/</t>
  </si>
  <si>
    <t>SriKartik Sayana</t>
  </si>
  <si>
    <t>Meesho</t>
  </si>
  <si>
    <t>srikartik.sayana@meesho.com</t>
  </si>
  <si>
    <t>https://www.linkedin.com/in/srikartiksayana/</t>
  </si>
  <si>
    <t>Utpal Kirodian</t>
  </si>
  <si>
    <t>Toast</t>
  </si>
  <si>
    <t>Prasad Menon</t>
  </si>
  <si>
    <t>Head of Talent Acquisition - APAC</t>
  </si>
  <si>
    <t>Amagi</t>
  </si>
  <si>
    <t>not found</t>
  </si>
  <si>
    <t>utpal.kirodian@toasttab.com</t>
  </si>
  <si>
    <t>https://www.linkedin.com/in/utpalkirodian/</t>
  </si>
  <si>
    <t>https://www.linkedin.com/in/prasad-menon-b68b526/</t>
  </si>
  <si>
    <t>Saritha Marthanda Varma</t>
  </si>
  <si>
    <t>Meena Kumari R</t>
  </si>
  <si>
    <t>Hiver</t>
  </si>
  <si>
    <t xml:space="preserve">SAP Fioneer </t>
  </si>
  <si>
    <t>Talent Acquisition Leader-APAC</t>
  </si>
  <si>
    <t>saritha.varma@sapfioneer.com</t>
  </si>
  <si>
    <t>https://www.linkedin.com/in/meena-kumari-r1983/</t>
  </si>
  <si>
    <t>https://www.linkedin.com/in/saritha-marthanda-varma-4057094/</t>
  </si>
  <si>
    <t>Aloysius Vijay</t>
  </si>
  <si>
    <t>Sabre India</t>
  </si>
  <si>
    <t>Director Talent Acquisition India and APAC</t>
  </si>
  <si>
    <t>aloysius.vijay@sabre.com</t>
  </si>
  <si>
    <t>https://www.linkedin.com/in/vijayal/</t>
  </si>
  <si>
    <t>Satheesh K V</t>
  </si>
  <si>
    <t>ACKO</t>
  </si>
  <si>
    <t>https://www.linkedin.com/in/kvsatheesh/?skipRedirect=true</t>
  </si>
  <si>
    <t>Chengappa AK</t>
  </si>
  <si>
    <t>State Street</t>
  </si>
  <si>
    <t>Vice President - Talent Acquisition</t>
  </si>
  <si>
    <t>cak@statestreet.com</t>
  </si>
  <si>
    <t>https://www.linkedin.com/in/chengappaak/</t>
  </si>
  <si>
    <t>Krishna Kumar K</t>
  </si>
  <si>
    <t>Northern Trust Corporation</t>
  </si>
  <si>
    <t>APAC Head Talent Acquisition</t>
  </si>
  <si>
    <t>krishna.k@northerntrust.com</t>
  </si>
  <si>
    <t>https://www.linkedin.com/in/krishnakk/</t>
  </si>
  <si>
    <t xml:space="preserve">Vandana Chotrani
</t>
  </si>
  <si>
    <t>Commonwealth Bank</t>
  </si>
  <si>
    <t xml:space="preserve">Head of Talent Acquisition </t>
  </si>
  <si>
    <t>Shubhayu Sengupta</t>
  </si>
  <si>
    <t>vandana.chotrani@cba.com.au</t>
  </si>
  <si>
    <t>Zeta</t>
  </si>
  <si>
    <t>https://www.linkedin.com/in/vandana-chotrani-11657a4/</t>
  </si>
  <si>
    <t>https://www.linkedin.com/in/shubhayu-sengupta-6b44887/</t>
  </si>
  <si>
    <t>Sumana Srivastava</t>
  </si>
  <si>
    <t>eBay</t>
  </si>
  <si>
    <t xml:space="preserve">India Talent Acquisition Leader </t>
  </si>
  <si>
    <t>918971577757
918130597233</t>
  </si>
  <si>
    <t>sumana.srivastava@ebay.com</t>
  </si>
  <si>
    <t>https://www.linkedin.com/in/sumana-srivastava-9364274/</t>
  </si>
  <si>
    <t>Anu Mathew</t>
  </si>
  <si>
    <t>Perfios</t>
  </si>
  <si>
    <t>https://www.linkedin.com/in/mathewanu/</t>
  </si>
  <si>
    <t>Devaiah A M</t>
  </si>
  <si>
    <t>Coforge</t>
  </si>
  <si>
    <t>Senior Director -Talent Acquisition, APAC &amp; INDIA</t>
  </si>
  <si>
    <t>devaiaham@gmail.com</t>
  </si>
  <si>
    <t>https://www.linkedin.com/in/devaiaham/</t>
  </si>
  <si>
    <t>Saraswathi Chandrasekharan</t>
  </si>
  <si>
    <t>Ascendion</t>
  </si>
  <si>
    <t>Global Chief People Officer</t>
  </si>
  <si>
    <t>https://www.linkedin.com/in/saraswathi23/</t>
  </si>
  <si>
    <t>Harsha Shekar</t>
  </si>
  <si>
    <t>ANZ</t>
  </si>
  <si>
    <t>Smriti Goel</t>
  </si>
  <si>
    <t>Tyfone</t>
  </si>
  <si>
    <t>https://www.linkedin.com/in/smriti-goel-3411905/</t>
  </si>
  <si>
    <r>
      <rPr>
        <rFont val="Arial"/>
        <color theme="1"/>
      </rPr>
      <t xml:space="preserve">919880161005
</t>
    </r>
    <r>
      <rPr>
        <rFont val="Arial"/>
        <color rgb="FFFF0000"/>
      </rPr>
      <t>918039524413
919899398736</t>
    </r>
  </si>
  <si>
    <t>harsha.shekar@anz.com</t>
  </si>
  <si>
    <t>https://www.linkedin.com/in/harshashekar/</t>
  </si>
  <si>
    <t>Anish Philip</t>
  </si>
  <si>
    <t>Jitendra Sharma</t>
  </si>
  <si>
    <t>Publicis Sapient</t>
  </si>
  <si>
    <t>Vee Healthtek</t>
  </si>
  <si>
    <t>anish.p@veehealthtek.com</t>
  </si>
  <si>
    <t>https://www.linkedin.com/in/anishphilip1999/</t>
  </si>
  <si>
    <t>Lokendra Sethi</t>
  </si>
  <si>
    <t>DXC Technology</t>
  </si>
  <si>
    <t>VP - GDN and India HR Lead</t>
  </si>
  <si>
    <t>12622974784
16026983388</t>
  </si>
  <si>
    <t>https://www.linkedin.com/in/lokendra-sethi-267a314/</t>
  </si>
  <si>
    <t>jitendra.sharma1@publicissapient.com</t>
  </si>
  <si>
    <t>https://www.linkedin.com/in/jsharma2588/</t>
  </si>
  <si>
    <t>Ankita Agrawal</t>
  </si>
  <si>
    <t>Allstate India</t>
  </si>
  <si>
    <t>Director, India Head of HR</t>
  </si>
  <si>
    <t>aagrr@allstate.com</t>
  </si>
  <si>
    <t>https://www.linkedin.com/in/ankita-agrawal-751b4a30/</t>
  </si>
  <si>
    <t>fsana@netapp.com</t>
  </si>
  <si>
    <t>Aiyappa K V</t>
  </si>
  <si>
    <t>Tredence</t>
  </si>
  <si>
    <t xml:space="preserve">Director &amp; Head of India Talent Acquisition </t>
  </si>
  <si>
    <t>aiyappa.v@tredence.com</t>
  </si>
  <si>
    <t>https://www.linkedin.com/in/aiyappa-k-v-95444164/</t>
  </si>
  <si>
    <t xml:space="preserve">Seetha Rani KP
</t>
  </si>
  <si>
    <t>Philips Innovation Campus</t>
  </si>
  <si>
    <t>Head Of Human Resources</t>
  </si>
  <si>
    <t>https://www.linkedin.com/in/seetha-rani-kp-1b2974/</t>
  </si>
  <si>
    <t>Brillio</t>
  </si>
  <si>
    <t>Priyadharshini Manavalan</t>
  </si>
  <si>
    <t>Atlassian</t>
  </si>
  <si>
    <t>919972309814
918044261048</t>
  </si>
  <si>
    <t>priyachaitanya@yahoo.co.in
pmanavalan@atlassian.com</t>
  </si>
  <si>
    <t>https://www.linkedin.com/in/priyadharshinimanavalan/</t>
  </si>
  <si>
    <t>in touch with britya</t>
  </si>
  <si>
    <t>Tina Vas</t>
  </si>
  <si>
    <t>Sagility</t>
  </si>
  <si>
    <t>https://www.linkedin.com/in/tina-vas-8455b37/</t>
  </si>
  <si>
    <t>Mithun Mukherjee</t>
  </si>
  <si>
    <t>Zensar Technologies</t>
  </si>
  <si>
    <t xml:space="preserve">mithun.mukherjee@zensar.com, mit.mukherjee@gmail.com </t>
  </si>
  <si>
    <t>https://www.linkedin.com/in/mukherjeemithun/</t>
  </si>
  <si>
    <t>Santosh Thangavelu</t>
  </si>
  <si>
    <t>Axtria - Ingenious Insights</t>
  </si>
  <si>
    <t>CHRO - India, Principal - People Practices</t>
  </si>
  <si>
    <t>Rita Patel</t>
  </si>
  <si>
    <t>OpenText</t>
  </si>
  <si>
    <t xml:space="preserve">Senior Director Talent Acquisition </t>
  </si>
  <si>
    <t>rpatel3@opentext.com, rita_patel7@yahoo.com</t>
  </si>
  <si>
    <t>https://www.linkedin.com/in/rita-patel-86560b29/</t>
  </si>
  <si>
    <t>https://www.linkedin.com/in/santoshthangavelu/</t>
  </si>
  <si>
    <t>didnt pick up</t>
  </si>
  <si>
    <t>Nishith Dev</t>
  </si>
  <si>
    <t>MediaTek</t>
  </si>
  <si>
    <t>TA Head (APAC )-India/Singapore/Japan/Korea at MediaTek</t>
  </si>
  <si>
    <t>to find no</t>
  </si>
  <si>
    <t>nishith.dev@mediatek.com</t>
  </si>
  <si>
    <t>https://www.linkedin.com/in/nishithk/</t>
  </si>
  <si>
    <t xml:space="preserve">Pratibha Priyadarshini
</t>
  </si>
  <si>
    <t>Shell</t>
  </si>
  <si>
    <t>VP and Head of HR, Shell Companies in India</t>
  </si>
  <si>
    <t>919731303231
918040217427
918041226635
919686911266</t>
  </si>
  <si>
    <t>https://www.linkedin.com/in/pratibha-priyadarshini-61a058b/</t>
  </si>
  <si>
    <t>Somnath Baishya</t>
  </si>
  <si>
    <t>Tesco</t>
  </si>
  <si>
    <t>Chief People Officer - Global Business Solutions &amp; Tesco India</t>
  </si>
  <si>
    <t>https://www.linkedin.com/in/somnathbaishya/</t>
  </si>
  <si>
    <t>Pankaj Thukral</t>
  </si>
  <si>
    <t>Xerox</t>
  </si>
  <si>
    <t>Leading People Change and HR Transformation</t>
  </si>
  <si>
    <t>https://www.linkedin.com/in/pankaj-thukral-07909739/</t>
  </si>
  <si>
    <t>Anoop Hiwalay</t>
  </si>
  <si>
    <t>Schneider Electric</t>
  </si>
  <si>
    <t>Director, TA, India &amp; HR Leader, India One Solution</t>
  </si>
  <si>
    <t>919538085555
919820428391
912267724000</t>
  </si>
  <si>
    <t>anoop.hiwalay@se.com</t>
  </si>
  <si>
    <t>https://www.linkedin.com/in/anoophiwalay/</t>
  </si>
  <si>
    <t>Balachandar G</t>
  </si>
  <si>
    <t>918040296724
919739933369
919980137259</t>
  </si>
  <si>
    <t xml:space="preserve">Vidya Sagar Vedanabhatla
</t>
  </si>
  <si>
    <t>Bridgestone Global Capability Centre</t>
  </si>
  <si>
    <t>Head of TA</t>
  </si>
  <si>
    <t>Bindu Sugunan</t>
  </si>
  <si>
    <t>sagarthesingle@gmail.com</t>
  </si>
  <si>
    <t>Unisys</t>
  </si>
  <si>
    <t>Head of HR</t>
  </si>
  <si>
    <t>https://www.linkedin.com/in/vidyasagarvedanabhatla/</t>
  </si>
  <si>
    <t>https://www.linkedin.com/in/bindu-sugunan-7b46508/</t>
  </si>
  <si>
    <t>Pavan Hogade</t>
  </si>
  <si>
    <t>Deepa Bhushan</t>
  </si>
  <si>
    <t>Applied Materials</t>
  </si>
  <si>
    <t>HR Director (Site head)</t>
  </si>
  <si>
    <t>American Express</t>
  </si>
  <si>
    <t>deepa.s.bhushan@aexp.com, deepaswaminathan10@gmail.com</t>
  </si>
  <si>
    <t>https://www.linkedin.com/in/deepa-bhushan/</t>
  </si>
  <si>
    <t>https://www.linkedin.com/in/pavan-hogade-0b94b1a/</t>
  </si>
  <si>
    <t>Nisha Srinivasan</t>
  </si>
  <si>
    <t>Rithin Thimmaiah</t>
  </si>
  <si>
    <t>Fidelity Investments</t>
  </si>
  <si>
    <t>919900163368
918041861678</t>
  </si>
  <si>
    <t>rithinthimmaiah@yahoo.co.in</t>
  </si>
  <si>
    <t>https://www.linkedin.com/in/rithin-thimmaiah/</t>
  </si>
  <si>
    <t>GE / GE Healthcare</t>
  </si>
  <si>
    <t>Chief Human Resources Officer, India &amp; South Asia</t>
  </si>
  <si>
    <t>919702040608
919867567647</t>
  </si>
  <si>
    <t>https://www.linkedin.com/in/nisha-srinivasan/</t>
  </si>
  <si>
    <t>Sajan Johari( SJ)</t>
  </si>
  <si>
    <t>BlackRock India</t>
  </si>
  <si>
    <t>sajan.johari@blackrock.com, allrounderjohari@gmail.com</t>
  </si>
  <si>
    <t>https://www.linkedin.com/in/sajanjohari/</t>
  </si>
  <si>
    <t>refer someone else</t>
  </si>
  <si>
    <t xml:space="preserve">Britya </t>
  </si>
  <si>
    <t>Stita Misra</t>
  </si>
  <si>
    <t>Phillips</t>
  </si>
  <si>
    <t>ServiceNow</t>
  </si>
  <si>
    <t>stita.misra@servicenow.com</t>
  </si>
  <si>
    <t>will confirm by tom eod, will recommend someone</t>
  </si>
  <si>
    <t>https://www.linkedin.com/in/stitamisra/</t>
  </si>
  <si>
    <t>Harshavardhan Kundalkar</t>
  </si>
  <si>
    <t>Daimler(TRUCKS) TO CHECK</t>
  </si>
  <si>
    <t>https://www.linkedin.com/in/harshavardhan-kundalkar-87355b35/</t>
  </si>
  <si>
    <t>Balamurugan Muthukumaraswamy</t>
  </si>
  <si>
    <t>Verizon</t>
  </si>
  <si>
    <t>Associate Director-Talent Acquisition</t>
  </si>
  <si>
    <t>balamurugan.m@verizon.com</t>
  </si>
  <si>
    <t>https://www.linkedin.com/in/balamurugan-muthukumaraswamy-4a40b14/</t>
  </si>
  <si>
    <t>Richa Sinha</t>
  </si>
  <si>
    <t>Airbnb</t>
  </si>
  <si>
    <t>Regional HR Leader, India</t>
  </si>
  <si>
    <t>919709133730
919811319481</t>
  </si>
  <si>
    <t>na</t>
  </si>
  <si>
    <t>https://www.linkedin.com/in/richa-sinha-956b1112/</t>
  </si>
  <si>
    <t>Manjula Komala</t>
  </si>
  <si>
    <t>VRIZE</t>
  </si>
  <si>
    <t>https://www.linkedin.com/in/manjula-komala-9173846/</t>
  </si>
  <si>
    <t>Supriya Sharma</t>
  </si>
  <si>
    <t>Booking.com</t>
  </si>
  <si>
    <t>India HR Head</t>
  </si>
  <si>
    <t>supriya.sharma@bookingholdings.com</t>
  </si>
  <si>
    <t>https://www.linkedin.com/in/supriya-sharma-8324864/</t>
  </si>
  <si>
    <t xml:space="preserve">Travel , monday </t>
  </si>
  <si>
    <t>Rathish Narayanan</t>
  </si>
  <si>
    <t>Azentio Software</t>
  </si>
  <si>
    <t>Head Talent Acquisition</t>
  </si>
  <si>
    <t>https://www.linkedin.com/in/rathishnarayanan/</t>
  </si>
  <si>
    <t xml:space="preserve">Harshika Khatri
</t>
  </si>
  <si>
    <t>Human Resources- Recruitment &amp; Training</t>
  </si>
  <si>
    <t xml:space="preserve">Sudip Datta
</t>
  </si>
  <si>
    <t xml:space="preserve">Sagility 
</t>
  </si>
  <si>
    <t>sudip.datta@sagility.com</t>
  </si>
  <si>
    <t>https://www.linkedin.com/in/sudip-datta-a592707/</t>
  </si>
  <si>
    <t>harshika.khatri@ebayinc.com</t>
  </si>
  <si>
    <t>https://www.linkedin.com/in/harshika-khatri-781a1010b/</t>
  </si>
  <si>
    <t>Jayshankar M</t>
  </si>
  <si>
    <t>Blue Yonder</t>
  </si>
  <si>
    <t>Senior Director -Talent Acquisition (India &amp; APAC)</t>
  </si>
  <si>
    <t>jayshankar.mahadev@blueyonder.com</t>
  </si>
  <si>
    <t>Ritu Raj</t>
  </si>
  <si>
    <t>https://www.linkedin.com/in/jayhrp/</t>
  </si>
  <si>
    <t>PayPal</t>
  </si>
  <si>
    <t>People Lead, India, PayPal</t>
  </si>
  <si>
    <t>https://www.linkedin.com/in/riiturajindia/</t>
  </si>
  <si>
    <t>Jharna Thammaiah</t>
  </si>
  <si>
    <t>Santosh T K</t>
  </si>
  <si>
    <t>Director &amp; India site People &amp; Places Leader</t>
  </si>
  <si>
    <t>Dell Technologies</t>
  </si>
  <si>
    <t>santosh.tk@dell.com</t>
  </si>
  <si>
    <t>https://www.linkedin.com/in/santosh-t-k-156b2925/</t>
  </si>
  <si>
    <t>jharna_thammaiah@intuit.com</t>
  </si>
  <si>
    <t>https://www.linkedin.com/in/jharna-thammaiah-1105058b/</t>
  </si>
  <si>
    <t>Ravindranadh Barrey</t>
  </si>
  <si>
    <t>ravindranath.barrey@cyient.com</t>
  </si>
  <si>
    <t>https://www.linkedin.com/in/ravindranathbarrey/</t>
  </si>
  <si>
    <t xml:space="preserve">Parul Thakur
</t>
  </si>
  <si>
    <t>Director, HR</t>
  </si>
  <si>
    <t>https://www.linkedin.com/in/parulthakur/</t>
  </si>
  <si>
    <t>Maria Roy</t>
  </si>
  <si>
    <t xml:space="preserve">Cognizant </t>
  </si>
  <si>
    <t>maria.roy@cognizant.com</t>
  </si>
  <si>
    <t>https://www.linkedin.com/in/maria-roy-12658b20/</t>
  </si>
  <si>
    <t xml:space="preserve">Senior Director, Global Talent Acquisition </t>
  </si>
  <si>
    <t>Seema Unni</t>
  </si>
  <si>
    <t>Head Of Human Resources, FMR India</t>
  </si>
  <si>
    <t xml:space="preserve">Srikant Raje Urs H .S
</t>
  </si>
  <si>
    <t>Accolite</t>
  </si>
  <si>
    <t>https://www.linkedin.com/in/srikant-raje-urs-h-s-815a1340/</t>
  </si>
  <si>
    <t>https://www.linkedin.com/in/seema-unni-b76b38/</t>
  </si>
  <si>
    <t>Deepak Babu</t>
  </si>
  <si>
    <t>Observe.AI</t>
  </si>
  <si>
    <t>Shreeram Varahan</t>
  </si>
  <si>
    <t>Thomson Reuters</t>
  </si>
  <si>
    <t>Regional Head of HR - Global Centers and APAC</t>
  </si>
  <si>
    <t>parul.thakur@target.com</t>
  </si>
  <si>
    <t>https://www.linkedin.com/in/shreeramvarahan/</t>
  </si>
  <si>
    <t>Senior Director Talent Acquisition</t>
  </si>
  <si>
    <t>deepak.babu@observe.ai</t>
  </si>
  <si>
    <t>https://www.linkedin.com/in/deepak-babu-2b8a324/</t>
  </si>
  <si>
    <t>Smitha Krishnamurthy</t>
  </si>
  <si>
    <t>Nasdaq</t>
  </si>
  <si>
    <t>VP Head of APAC - HR Business Partners &amp; Talent Acquisition</t>
  </si>
  <si>
    <t>918045119000
918046738400</t>
  </si>
  <si>
    <t>smitha.krishnamurthy@nasdaq.com</t>
  </si>
  <si>
    <t>https://www.linkedin.com/in/smithakrishnamurthy/</t>
  </si>
  <si>
    <t>Dilip Singh</t>
  </si>
  <si>
    <t>Talent Worx</t>
  </si>
  <si>
    <t>dilip@talworx.com</t>
  </si>
  <si>
    <t>https://www.linkedin.com/in/dilip-singh-383082bb/</t>
  </si>
  <si>
    <t>Nitish Bharadwaj</t>
  </si>
  <si>
    <t>Morgan Stanley</t>
  </si>
  <si>
    <t>919869468585
919686411886
919869003457</t>
  </si>
  <si>
    <t>https://www.linkedin.com/in/nitishbharadwaz/</t>
  </si>
  <si>
    <t>Sandeep Payal</t>
  </si>
  <si>
    <t>Pure Storage</t>
  </si>
  <si>
    <t>spayal@purestorage.com</t>
  </si>
  <si>
    <t>https://www.linkedin.com/in/sandeep28/</t>
  </si>
  <si>
    <t>Akanksha Rana</t>
  </si>
  <si>
    <t>Goldman Sachs</t>
  </si>
  <si>
    <t>Vice President - HR at Goldman Sachs</t>
  </si>
  <si>
    <t>Vanaja Deva Shetty Gowda</t>
  </si>
  <si>
    <t>https://www.linkedin.com/in/akanksha-rana-8b9a31116/</t>
  </si>
  <si>
    <t>Tekion Corp</t>
  </si>
  <si>
    <t>Senior Director of Talent Acquisition</t>
  </si>
  <si>
    <t>vanajad@tekion.com</t>
  </si>
  <si>
    <t>https://www.linkedin.com/in/vanajadev/</t>
  </si>
  <si>
    <t>Naveen E</t>
  </si>
  <si>
    <t>SpanIdea Systems</t>
  </si>
  <si>
    <t>Director- Talent Acquisition</t>
  </si>
  <si>
    <t>naveene@spanidea.com</t>
  </si>
  <si>
    <t>https://www.linkedin.com/in/naveen-e-375b39a9/</t>
  </si>
  <si>
    <t xml:space="preserve">Tanmay Rao
</t>
  </si>
  <si>
    <t>JPMorgan Chase</t>
  </si>
  <si>
    <t>Head of Human Resources · Human Resources Officer · VP of HR · Chief Human Resources Manager</t>
  </si>
  <si>
    <t>https://www.linkedin.com/in/tanmay-rao-722b692b1/</t>
  </si>
  <si>
    <t xml:space="preserve">Raja Raguram
</t>
  </si>
  <si>
    <t>nomiso</t>
  </si>
  <si>
    <t>raja.raguram@nomiso.io</t>
  </si>
  <si>
    <t>https://www.linkedin.com/in/rajaraguram/</t>
  </si>
  <si>
    <t>Yash Mohan</t>
  </si>
  <si>
    <t>Wells Fargo</t>
  </si>
  <si>
    <t>based in mumbai</t>
  </si>
  <si>
    <t>https://www.linkedin.com/in/yashmohan/</t>
  </si>
  <si>
    <t>Jayanthi Kumari</t>
  </si>
  <si>
    <t>Concentrix</t>
  </si>
  <si>
    <t>919620232436
918066950976</t>
  </si>
  <si>
    <t>jayanthi.kumari@concentrix.com</t>
  </si>
  <si>
    <t>https://www.linkedin.com/in/jayanthi-pal-0a5a052b/</t>
  </si>
  <si>
    <t>Swadesh Behera</t>
  </si>
  <si>
    <t>Titan Company Limited</t>
  </si>
  <si>
    <t>https://www.linkedin.com/in/swadeshbehera/</t>
  </si>
  <si>
    <t>Aravind Chandrasekar</t>
  </si>
  <si>
    <t>https://www.linkedin.com/in/aravindchandrasekar/</t>
  </si>
  <si>
    <t>Saurabh Kharbanda</t>
  </si>
  <si>
    <t>First Citizens India</t>
  </si>
  <si>
    <t>saurabh.kharbanda@firstcitizens.com</t>
  </si>
  <si>
    <t>https://www.linkedin.com/in/saurabhkharbanda/</t>
  </si>
  <si>
    <t>Lakshmi Chandrasekharan</t>
  </si>
  <si>
    <t>Accenture in India</t>
  </si>
  <si>
    <t>Senior Managing Director &amp; CHRO</t>
  </si>
  <si>
    <t>Azhagiri Selvarajan</t>
  </si>
  <si>
    <t>Cognizant India</t>
  </si>
  <si>
    <t>Senior Vice President &amp; Head of HR - India</t>
  </si>
  <si>
    <t>Ramachandran Sundararajan</t>
  </si>
  <si>
    <t>HCLTech</t>
  </si>
  <si>
    <t>Pranav Pande</t>
  </si>
  <si>
    <t>Amazon</t>
  </si>
  <si>
    <t>Head of Talent Acquisition, India</t>
  </si>
  <si>
    <t>https://www.linkedin.com/in/pranavpande/</t>
  </si>
  <si>
    <t>Aarti Srivastava</t>
  </si>
  <si>
    <t>Capgemini India</t>
  </si>
  <si>
    <t>Gaurav Ahluwalia</t>
  </si>
  <si>
    <t>Cisco India &amp; SAARC</t>
  </si>
  <si>
    <t>Vice President &amp; Head - People and Communities</t>
  </si>
  <si>
    <t>Suresh BR</t>
  </si>
  <si>
    <t>Robin N P</t>
  </si>
  <si>
    <t>Bosch India</t>
  </si>
  <si>
    <t>Digitide</t>
  </si>
  <si>
    <t>Vice President &amp; Country Head - HR (CHRO)</t>
  </si>
  <si>
    <t>https://www.linkedin.com/in/robin-n-p-5963258/</t>
  </si>
  <si>
    <t>Chetana Patnaik</t>
  </si>
  <si>
    <t>LTIMindtree</t>
  </si>
  <si>
    <t>Shaji Mathew</t>
  </si>
  <si>
    <t>Infosys</t>
  </si>
  <si>
    <t>Sharath Kumar</t>
  </si>
  <si>
    <t>Oracle India</t>
  </si>
  <si>
    <t>https://www.linkedin.com/in/sharath-kumar-54226a29/</t>
  </si>
  <si>
    <t>Vice President, Human Resources</t>
  </si>
  <si>
    <t>Shweta Mohanty Roy</t>
  </si>
  <si>
    <t>Head of HR, India</t>
  </si>
  <si>
    <t>https://www.linkedin.com/in/shweta-mohanty-89a74b11/</t>
  </si>
  <si>
    <t>Manohar Kakade</t>
  </si>
  <si>
    <t>Hewlett Packard Enterprise</t>
  </si>
  <si>
    <t>Talent Acquisition Head</t>
  </si>
  <si>
    <t>manohark@hpe.com</t>
  </si>
  <si>
    <t>https://www.linkedin.com/in/manohar-kakade-56975718/</t>
  </si>
  <si>
    <t>vm</t>
  </si>
  <si>
    <t>Annapurna</t>
  </si>
  <si>
    <t xml:space="preserve">General Motors </t>
  </si>
  <si>
    <t>HR Lead - India</t>
  </si>
  <si>
    <t>https://www.linkedin.com/in/annapurna-1a41783b/</t>
  </si>
  <si>
    <t>Priti Acharya</t>
  </si>
  <si>
    <t xml:space="preserve">Director, India Head of Talent Acquisition </t>
  </si>
  <si>
    <t>pacharya@paypal.com</t>
  </si>
  <si>
    <t>https://www.linkedin.com/in/pritiacharyaprofile/</t>
  </si>
  <si>
    <t>Vijay Manjeshwar</t>
  </si>
  <si>
    <t>Infineon Technologies India</t>
  </si>
  <si>
    <t>Senior Director, Country Head-Human Resources</t>
  </si>
  <si>
    <t>Sateesh Kumar</t>
  </si>
  <si>
    <t>Cubic Corporation</t>
  </si>
  <si>
    <t>Director &amp; Head of Talent Acquisition</t>
  </si>
  <si>
    <t>919849468824 satish n
97455184983 santosh k
97444302163
97444496065</t>
  </si>
  <si>
    <t>kumar@cubic.com</t>
  </si>
  <si>
    <t>https://www.linkedin.com/in/sateesht18/</t>
  </si>
  <si>
    <t>https://www.linkedin.com/in/vijay-manjeshwar-88964b5/</t>
  </si>
  <si>
    <t>wrong</t>
  </si>
  <si>
    <t>Ashwin Singh</t>
  </si>
  <si>
    <t>Suki</t>
  </si>
  <si>
    <t>Director Talent Acquisition &amp; People Operations</t>
  </si>
  <si>
    <t>ashwin@suki.ai, ashwin9999@gmail.com</t>
  </si>
  <si>
    <t>https://www.linkedin.com/in/ashwin-singh-8871b23/</t>
  </si>
  <si>
    <t>Travel will be back on 28th</t>
  </si>
  <si>
    <t>Tathagata Roy</t>
  </si>
  <si>
    <t>Pivotree</t>
  </si>
  <si>
    <t>https://www.linkedin.com/in/tathagatar/</t>
  </si>
  <si>
    <t>VAIBHAV SRIVASTAVA</t>
  </si>
  <si>
    <t>ABB India</t>
  </si>
  <si>
    <t>Country HR Head</t>
  </si>
  <si>
    <t>no</t>
  </si>
  <si>
    <t>Srinivas Thimmaiah</t>
  </si>
  <si>
    <t>InfoVision Inc. ·</t>
  </si>
  <si>
    <t>srinivas.thimmaiah@infovision.com</t>
  </si>
  <si>
    <t>https://www.linkedin.com/in/vaibhav-srivastava-15a06b13/</t>
  </si>
  <si>
    <t>https://www.linkedin.com/in/srinivas-thimmaiah-6716856/</t>
  </si>
  <si>
    <t>Gurucharan Singh Gandhi</t>
  </si>
  <si>
    <t>Vodafone</t>
  </si>
  <si>
    <t>Rashmi Narayan</t>
  </si>
  <si>
    <t xml:space="preserve">TransUnion </t>
  </si>
  <si>
    <t>https://www.linkedin.com/in/guruchrangandhi/</t>
  </si>
  <si>
    <t>Head of Talent Acquisition (Director)-Transunion Global Capability Centres India</t>
  </si>
  <si>
    <t>rashmi.narayan@transunion.com</t>
  </si>
  <si>
    <t>https://www.linkedin.com/in/rashminarayanhr/</t>
  </si>
  <si>
    <t>Surabhi Sheshadri</t>
  </si>
  <si>
    <t>Standard Chartered GBS</t>
  </si>
  <si>
    <t>Head HR, GBS Functions</t>
  </si>
  <si>
    <t>https://www.linkedin.com/in/surabhi-sheshadri/</t>
  </si>
  <si>
    <t>Balaji Kamaraj</t>
  </si>
  <si>
    <t xml:space="preserve">Creative Synergies Group </t>
  </si>
  <si>
    <t>VP and Global Head - Talent Acquisition</t>
  </si>
  <si>
    <t>balaji.k@global-csg.com</t>
  </si>
  <si>
    <t>https://www.linkedin.com/in/balaji-kamaraj/</t>
  </si>
  <si>
    <t>RAAJUUL SHARMA</t>
  </si>
  <si>
    <t>UTC Aerospace (Collins Aerospace)</t>
  </si>
  <si>
    <t>Director Human Resources - Global Operations</t>
  </si>
  <si>
    <t>https://www.linkedin.com/in/rajuul/</t>
  </si>
  <si>
    <t>Babitha George</t>
  </si>
  <si>
    <t>Wells Fargo India</t>
  </si>
  <si>
    <t>https://www.linkedin.com/in/babitha-george-b714bbab/</t>
  </si>
  <si>
    <t>Genesys</t>
  </si>
  <si>
    <t>Suhas Roshan Talari</t>
  </si>
  <si>
    <t>Associate Director Human Resources</t>
  </si>
  <si>
    <t>https://www.linkedin.com/in/suhasroshan/</t>
  </si>
  <si>
    <t>Karthik Hoskote</t>
  </si>
  <si>
    <t>Vice President</t>
  </si>
  <si>
    <t>karthik.hoskote@gs.com</t>
  </si>
  <si>
    <t>https://www.linkedin.com/in/karthik-hoskote-aaaab317/</t>
  </si>
  <si>
    <t>Infinite Computer Solutions</t>
  </si>
  <si>
    <t xml:space="preserve">Amit Kumar Das
</t>
  </si>
  <si>
    <t>Novo Nordisk</t>
  </si>
  <si>
    <t>Senior Director - HR</t>
  </si>
  <si>
    <t>https://www.linkedin.com/in/amit-kumar-das-6142625/</t>
  </si>
  <si>
    <t>Anupama Bajpai</t>
  </si>
  <si>
    <t>JPMorganChase</t>
  </si>
  <si>
    <t xml:space="preserve">VP-Talent Aquisition </t>
  </si>
  <si>
    <t>919831282938
919980731982
918861296845
919972019820
918041271553</t>
  </si>
  <si>
    <t>https://www.linkedin.com/in/anupama-bajpai/</t>
  </si>
  <si>
    <t>Sailesh Menezes</t>
  </si>
  <si>
    <t>Hewlett Packard Enterprise (HPE)</t>
  </si>
  <si>
    <t>Vice President &amp; Regional HR Leader - India, Asia Pacific &amp; Japan</t>
  </si>
  <si>
    <t>https://www.linkedin.com/in/saileshmenezes/</t>
  </si>
  <si>
    <t>Gangadhar Salimath</t>
  </si>
  <si>
    <t>Palo Alto Networks</t>
  </si>
  <si>
    <t>gsalimath@paloaltonetworks.com</t>
  </si>
  <si>
    <t>https://www.linkedin.com/in/gangadharsalimath/</t>
  </si>
  <si>
    <t>Divya Pandey</t>
  </si>
  <si>
    <t>Koch Industries</t>
  </si>
  <si>
    <t>HR Leader</t>
  </si>
  <si>
    <t>919769270808
919922996400</t>
  </si>
  <si>
    <t>https://www.linkedin.com/in/divya-pandey-611aa47/</t>
  </si>
  <si>
    <t>Shikha Agarwal</t>
  </si>
  <si>
    <t>BorgWarner India</t>
  </si>
  <si>
    <t>Head of Human Resources , IPEC</t>
  </si>
  <si>
    <t>Atirek Gautam</t>
  </si>
  <si>
    <t>Sutherland</t>
  </si>
  <si>
    <t xml:space="preserve">Global Head- Talent Acquisition   </t>
  </si>
  <si>
    <t>https://www.linkedin.com/in/shikha-agarwal-b7237715/</t>
  </si>
  <si>
    <t>atirek.gautam@sutherlandglobal.com</t>
  </si>
  <si>
    <t>https://www.linkedin.com/in/atirek-gautam-9ba0b921/</t>
  </si>
  <si>
    <t>not interested</t>
  </si>
  <si>
    <t>Ramesh B.</t>
  </si>
  <si>
    <t>Siemens Digital Industries Software</t>
  </si>
  <si>
    <t>Talent Acquisition Partner</t>
  </si>
  <si>
    <t>919620023483
919173016101</t>
  </si>
  <si>
    <t>not available</t>
  </si>
  <si>
    <t>https://www.linkedin.com/in/rameshbusavalla/</t>
  </si>
  <si>
    <t>Rao Ambati</t>
  </si>
  <si>
    <t>Vice President - Head of India &amp; Asia Pacific Hiring | Technology Recruitment</t>
  </si>
  <si>
    <t>919986512619
918026691711</t>
  </si>
  <si>
    <t>avln.rao@mphasis.com, nanchi.ambati@gmail.com</t>
  </si>
  <si>
    <t>https://www.linkedin.com/in/raoambati/</t>
  </si>
  <si>
    <t xml:space="preserve">Meena Lokesh
</t>
  </si>
  <si>
    <t>Guidewire</t>
  </si>
  <si>
    <t>Global People Operations</t>
  </si>
  <si>
    <t>Jay Vellat</t>
  </si>
  <si>
    <t>https://www.linkedin.com/in/meena-lokesh-62a680176/</t>
  </si>
  <si>
    <t>Talent Aquisition - India Service Line Head</t>
  </si>
  <si>
    <t>https://www.linkedin.com/in/jayvellat/</t>
  </si>
  <si>
    <t>no incomming calls</t>
  </si>
  <si>
    <t>Ujala Sabharwal</t>
  </si>
  <si>
    <t>HealthEdge</t>
  </si>
  <si>
    <t>Senior Director, India People</t>
  </si>
  <si>
    <t>not in bangalore</t>
  </si>
  <si>
    <t>Manjunath Nallapeta</t>
  </si>
  <si>
    <t>CGI</t>
  </si>
  <si>
    <t xml:space="preserve">Director - Talent Acquisition </t>
  </si>
  <si>
    <t>manjunath.nallapeta@cgi.com</t>
  </si>
  <si>
    <t>http://linkedin.com/in/manjunath-nallapeta-2099968/</t>
  </si>
  <si>
    <t>https://www.linkedin.com/in/ujalasabharwal</t>
  </si>
  <si>
    <t>msged</t>
  </si>
  <si>
    <t>Humera Iffath</t>
  </si>
  <si>
    <t>Truecaller</t>
  </si>
  <si>
    <t>Head of HR , Global People leader ,Workplace Experience (India), Global Director ESG</t>
  </si>
  <si>
    <t>https://www.linkedin.com/in/humera-iffath-0368203/?skipRedirect=true</t>
  </si>
  <si>
    <t xml:space="preserve">Allah Bakash
</t>
  </si>
  <si>
    <t>NTT DATA</t>
  </si>
  <si>
    <t>Associate Director - Talent Acquisition</t>
  </si>
  <si>
    <t>allah.bakash@nttdata.com</t>
  </si>
  <si>
    <t>https://www.linkedin.com/in/allah-bakash-64899712/</t>
  </si>
  <si>
    <t xml:space="preserve">Rajarshi (Raj) Choudhury
</t>
  </si>
  <si>
    <t>Amadeus Software Labs</t>
  </si>
  <si>
    <t xml:space="preserve">Head of People and Culture - Amadeus India Cluster </t>
  </si>
  <si>
    <t>Arulprakash Arumainathan</t>
  </si>
  <si>
    <t>Logitech</t>
  </si>
  <si>
    <t xml:space="preserve">Head of Talent Acquisition - India </t>
  </si>
  <si>
    <r>
      <rPr>
        <rFont val="Arial"/>
        <color rgb="FF1155CC"/>
        <u/>
      </rPr>
      <t>https://www.linkedin.com/in/rajarshi-choudhury-0860392a/</t>
    </r>
    <r>
      <rPr>
        <rFont val="Arial"/>
      </rPr>
      <t>/</t>
    </r>
  </si>
  <si>
    <t>aarumainathan@logitech.com</t>
  </si>
  <si>
    <t>https://www.linkedin.com/in/arulprakasharumainathan/</t>
  </si>
  <si>
    <t>Sunil Reddy</t>
  </si>
  <si>
    <t>Fortinet</t>
  </si>
  <si>
    <t>Head - Talent Acquisition</t>
  </si>
  <si>
    <t>https://www.linkedin.com/in/sunilmaddika/</t>
  </si>
  <si>
    <t xml:space="preserve">sms </t>
  </si>
  <si>
    <t>MathWorks</t>
  </si>
  <si>
    <t>Sreenu Nair</t>
  </si>
  <si>
    <t>slice</t>
  </si>
  <si>
    <t xml:space="preserve">
Vice President Talent Acquisition</t>
  </si>
  <si>
    <t>https://www.linkedin.com/in/sreenunair/</t>
  </si>
  <si>
    <t>Saumar Choudhury</t>
  </si>
  <si>
    <t>ExxonMobil</t>
  </si>
  <si>
    <t>Leader - Business HR Partner &amp; Transformation | India &amp; APAC</t>
  </si>
  <si>
    <t>https://www.linkedin.com/in/saumarjyoti/</t>
  </si>
  <si>
    <t>Sandeep Vasudevamurthy</t>
  </si>
  <si>
    <t>CitiusTech</t>
  </si>
  <si>
    <t>Director Talent Acquisition Strategic</t>
  </si>
  <si>
    <t>sandeep.vasudevamurthy@citiustech.com</t>
  </si>
  <si>
    <t>https://www.linkedin.com/in/sandeepmurthy7/</t>
  </si>
  <si>
    <t xml:space="preserve">out of station </t>
  </si>
  <si>
    <t>Sreenivas Vadaguru</t>
  </si>
  <si>
    <t>Movate</t>
  </si>
  <si>
    <t>V Prem Kumar</t>
  </si>
  <si>
    <t xml:space="preserve">Omnissa </t>
  </si>
  <si>
    <t>Head Of HR - APAC</t>
  </si>
  <si>
    <t>Vice President &amp; Head - Talent Acquisition</t>
  </si>
  <si>
    <t>https://www.linkedin.com/in/sreenivas-vadaguru-68a9a38/</t>
  </si>
  <si>
    <t>https://www.linkedin.com/in/premv/</t>
  </si>
  <si>
    <t>Nadeem Pasha</t>
  </si>
  <si>
    <t>messaged, travelling</t>
  </si>
  <si>
    <t>Hema Byrappa</t>
  </si>
  <si>
    <t>GE Digital</t>
  </si>
  <si>
    <t>Director - HR</t>
  </si>
  <si>
    <t>Robosoft Technologies</t>
  </si>
  <si>
    <t>https://www.linkedin.com/in/hemabyrappa/</t>
  </si>
  <si>
    <t>career break</t>
  </si>
  <si>
    <t>Rajagopalan S</t>
  </si>
  <si>
    <t>Tata Elxsi</t>
  </si>
  <si>
    <t>Head HR</t>
  </si>
  <si>
    <t>918039809600
918033955000
919880404263
918041087579</t>
  </si>
  <si>
    <t>https://www.linkedin.com/in/nadeempasha/</t>
  </si>
  <si>
    <t>https://www.linkedin.com/in/rajagopalan-s-66058a6/</t>
  </si>
  <si>
    <t>Travel</t>
  </si>
  <si>
    <t>Spandan Ghosh</t>
  </si>
  <si>
    <t>HashedIn by Deloitte</t>
  </si>
  <si>
    <t>didnt pick up, mailed, msged</t>
  </si>
  <si>
    <t xml:space="preserve">Talent Acquisition Leader </t>
  </si>
  <si>
    <t>https://www.linkedin.com/in/spandan-ghosh-76310a12/</t>
  </si>
  <si>
    <t>Kameshwari Rao</t>
  </si>
  <si>
    <t xml:space="preserve"> Publicis Sapient</t>
  </si>
  <si>
    <t>919945899155
919844007274</t>
  </si>
  <si>
    <t>https://www.linkedin.com/in/kameshwari-rao-she-her-218524b/</t>
  </si>
  <si>
    <t>Ambarish Roy</t>
  </si>
  <si>
    <t>Juniper Networks</t>
  </si>
  <si>
    <t>https://www.linkedin.com/in/aroyonline/</t>
  </si>
  <si>
    <t>Sopra Steria India</t>
  </si>
  <si>
    <t>Commvault</t>
  </si>
  <si>
    <t xml:space="preserve">
Senior Talent Acquisition Specialist</t>
  </si>
  <si>
    <t>Pradnya Kulkarni</t>
  </si>
  <si>
    <t>Thoughtworks</t>
  </si>
  <si>
    <t>Regional Head of People</t>
  </si>
  <si>
    <t>919900710127
917745085231
917758066128</t>
  </si>
  <si>
    <t>https://www.linkedin.com/in/pradnyakulkarni/</t>
  </si>
  <si>
    <t>Rachit Chandra</t>
  </si>
  <si>
    <t>Cloudera</t>
  </si>
  <si>
    <t>Director, Head of Talent Acquisition-APAC</t>
  </si>
  <si>
    <t>https://www.linkedin.com/in/rachit-chandra-54773a5/</t>
  </si>
  <si>
    <t>Softtek</t>
  </si>
  <si>
    <t>Arghya Mandal</t>
  </si>
  <si>
    <t>Thermo Fisher Scientific</t>
  </si>
  <si>
    <t>Talent Acquisition Leader - India &amp; South Asia</t>
  </si>
  <si>
    <t>Datamatics Business Solutions</t>
  </si>
  <si>
    <t>arghya.mandal@thermofisher.com</t>
  </si>
  <si>
    <t>https://www.linkedin.com/in/arghya-mandal-b06a9113/</t>
  </si>
  <si>
    <t>Prathima Prabhu</t>
  </si>
  <si>
    <t>Marlabs</t>
  </si>
  <si>
    <t>https://www.linkedin.com/in/prathimaprabhu/</t>
  </si>
  <si>
    <t>Hemali Sanghvi</t>
  </si>
  <si>
    <t>HSBC</t>
  </si>
  <si>
    <t>Head of Executive/ Leadership Hiring - GSC &amp; Tech Centers</t>
  </si>
  <si>
    <t>https://www.linkedin.com/in/hemali-sanghvi-3b08326/</t>
  </si>
  <si>
    <t>Insight</t>
  </si>
  <si>
    <t>Geetanjali Chhabra</t>
  </si>
  <si>
    <t>Barclays</t>
  </si>
  <si>
    <t>Talent Acquisition - India Coverage</t>
  </si>
  <si>
    <t>geetanjali.chhabra@barclays.com</t>
  </si>
  <si>
    <t>https://www.linkedin.com/in/geetanjali-chhabra-3739889/</t>
  </si>
  <si>
    <t>Tiger Analytics</t>
  </si>
  <si>
    <t>Rekha Nair</t>
  </si>
  <si>
    <t>https://www.linkedin.com/in/nairrekha/</t>
  </si>
  <si>
    <t>Seema B</t>
  </si>
  <si>
    <t>Director- TA</t>
  </si>
  <si>
    <t>https://www.linkedin.com/in/seemahifza/</t>
  </si>
  <si>
    <t>Quantiphi</t>
  </si>
  <si>
    <t>Suja Antony</t>
  </si>
  <si>
    <t>Société Générale</t>
  </si>
  <si>
    <t>Director : Head  Talent Acquisition</t>
  </si>
  <si>
    <t>suja.antony@socgen.com</t>
  </si>
  <si>
    <t>https://www.linkedin.com/in/sujaantony/</t>
  </si>
  <si>
    <t>Somnath Dey</t>
  </si>
  <si>
    <t>Fractal Analytics</t>
  </si>
  <si>
    <t>https://www.linkedin.com/in/somnath-dey911/</t>
  </si>
  <si>
    <t>Khushboo Singh</t>
  </si>
  <si>
    <t>MUFG</t>
  </si>
  <si>
    <t>Vice President -Talent Acquisition Lead</t>
  </si>
  <si>
    <t>919890306038
918447676653
919619710772</t>
  </si>
  <si>
    <t>https://www.linkedin.com/in/khushboo-singh-6b706325/</t>
  </si>
  <si>
    <t>Bhavya Shriyan</t>
  </si>
  <si>
    <t>Director -  Talent Acquisition  India</t>
  </si>
  <si>
    <t>https://www.linkedin.com/in/bhavyashriyan/</t>
  </si>
  <si>
    <t>Mu Sigma</t>
  </si>
  <si>
    <t>travel</t>
  </si>
  <si>
    <t>Lakshmi Venkatesh</t>
  </si>
  <si>
    <t>Swiss Re</t>
  </si>
  <si>
    <t>Head IT Talent Acquisition India</t>
  </si>
  <si>
    <t>lakshmi_venkatesh@swissre.com</t>
  </si>
  <si>
    <t>Anupama Panicker</t>
  </si>
  <si>
    <t>https://www.linkedin.com/in/lakshmi-venkatesh-86a2b7a5/</t>
  </si>
  <si>
    <t>Sigmoid</t>
  </si>
  <si>
    <t>Lead- Talent Acquisition</t>
  </si>
  <si>
    <t>https://www.linkedin.com/in/anupamapanicker/</t>
  </si>
  <si>
    <t>Surej Pillai</t>
  </si>
  <si>
    <t>Allianz</t>
  </si>
  <si>
    <t>Head - Talent Acquisition, Diversity Equity &amp; Inclusion</t>
  </si>
  <si>
    <t>https://www.linkedin.com/in/surej-pillai-aa010683/</t>
  </si>
  <si>
    <t>wrong no.</t>
  </si>
  <si>
    <t>Darwinbox</t>
  </si>
  <si>
    <t>Neeru Mehta</t>
  </si>
  <si>
    <t>Mahesh S.</t>
  </si>
  <si>
    <t>Aon</t>
  </si>
  <si>
    <t>Head of TA India and GCC-TA-APAC</t>
  </si>
  <si>
    <t>919731439393
919845010729</t>
  </si>
  <si>
    <t>https://www.linkedin.com/in/mahesh-s-14881a104/</t>
  </si>
  <si>
    <t>Yellow.ai</t>
  </si>
  <si>
    <t xml:space="preserve">Ajay Krishnankutty
</t>
  </si>
  <si>
    <t>Siemens Healthineers</t>
  </si>
  <si>
    <t xml:space="preserve">Head of Talent Acquisition - APJ Region </t>
  </si>
  <si>
    <t>ajay.krishnankutty@siemens-healthineers.com</t>
  </si>
  <si>
    <t>https://www.linkedin.com/in/ajay-krishnankutty-64124b4/</t>
  </si>
  <si>
    <t>https://www.linkedin.com/in/neeru-mehta-7011a210/</t>
  </si>
  <si>
    <t xml:space="preserve">Touseef Ahmed
</t>
  </si>
  <si>
    <t>Pratt &amp; Whitney</t>
  </si>
  <si>
    <t>Talent Acquisition Leader - APAC</t>
  </si>
  <si>
    <t>https://www.linkedin.com/in/touseef-ahmed-2453a021/</t>
  </si>
  <si>
    <t>US, FURTHER EVENTS</t>
  </si>
  <si>
    <t>Shashidhar Naik</t>
  </si>
  <si>
    <t>RTX</t>
  </si>
  <si>
    <t>Talent Acquisition Lead - ES APAC</t>
  </si>
  <si>
    <t>https://www.linkedin.com/in/shashidhar-naik-0b2980166/</t>
  </si>
  <si>
    <t>Uniphore</t>
  </si>
  <si>
    <t>Veena Satish</t>
  </si>
  <si>
    <t>MoEngage</t>
  </si>
  <si>
    <t>Senior Vice president - People &amp; Culture</t>
  </si>
  <si>
    <t>will tell</t>
  </si>
  <si>
    <t>Vinodh Kumar</t>
  </si>
  <si>
    <t>Safran</t>
  </si>
  <si>
    <t>India -Talent Acquisition Leader</t>
  </si>
  <si>
    <t>https://www.linkedin.com/in/vinodh-kumar-9931119/</t>
  </si>
  <si>
    <t>https://www.linkedin.com/in/veenasatish/</t>
  </si>
  <si>
    <t>Saumen Bhattacharjee</t>
  </si>
  <si>
    <t>Visteon</t>
  </si>
  <si>
    <t>Global Head - Workforce Architecture &amp; Talent Acquisition</t>
  </si>
  <si>
    <t>https://www.linkedin.com/in/saumenb/</t>
  </si>
  <si>
    <t>Neha Chakrabarty</t>
  </si>
  <si>
    <t>CleverTap</t>
  </si>
  <si>
    <t>BP</t>
  </si>
  <si>
    <t>https://www.linkedin.com/in/neha-chakrabarty-596704a5/</t>
  </si>
  <si>
    <t>Gayathri Subramanian</t>
  </si>
  <si>
    <t>LeadSquared</t>
  </si>
  <si>
    <t>Vice President and Head of HR</t>
  </si>
  <si>
    <t>https://www.linkedin.com/in/gayathri-subramanian-5055923/</t>
  </si>
  <si>
    <t>Jaikishan Khatri</t>
  </si>
  <si>
    <t>Levi Strauss &amp; Co.</t>
  </si>
  <si>
    <t>Talent Acquisition Head - Talent Hub, South Asia and Middle East</t>
  </si>
  <si>
    <t>https://www.linkedin.com/in/jaikishankhatri/</t>
  </si>
  <si>
    <t>Rohit Sandal</t>
  </si>
  <si>
    <t>VerSe Innovation</t>
  </si>
  <si>
    <t>Shruti Hiremath</t>
  </si>
  <si>
    <t>Kimberly-Clark</t>
  </si>
  <si>
    <t>https://www.linkedin.com/in/hiremath-shruti/</t>
  </si>
  <si>
    <t>https://www.linkedin.com/in/rohit-sandal-58bb423/</t>
  </si>
  <si>
    <t>Shifalika Uppal</t>
  </si>
  <si>
    <t>Kenvue</t>
  </si>
  <si>
    <t>Talent Acquisition Leader, GCC</t>
  </si>
  <si>
    <t>Monika Gunalan</t>
  </si>
  <si>
    <t>Postman</t>
  </si>
  <si>
    <t xml:space="preserve">Head of People, APAC </t>
  </si>
  <si>
    <t>https://www.linkedin.com/in/shifalika-uppal-821a4958/</t>
  </si>
  <si>
    <t>https://www.linkedin.com/in/monikagunalan/</t>
  </si>
  <si>
    <t>Aman Gupta</t>
  </si>
  <si>
    <t>https://www.linkedin.com/in/amangupta1981/</t>
  </si>
  <si>
    <t>Saikrishna Rao</t>
  </si>
  <si>
    <t>VP, People Success</t>
  </si>
  <si>
    <t xml:space="preserve">Priyanka Singh
</t>
  </si>
  <si>
    <t>Gaurav Bali</t>
  </si>
  <si>
    <t>https://www.linkedin.com/in/priyankasibm/</t>
  </si>
  <si>
    <t>HR Leader - Business Partnering and People Success</t>
  </si>
  <si>
    <t>https://www.linkedin.com/in/gauravbali333/</t>
  </si>
  <si>
    <t>Deepak Kudachi</t>
  </si>
  <si>
    <t>Alcon</t>
  </si>
  <si>
    <t>Director - Global Talent Acquisition Service Delivery</t>
  </si>
  <si>
    <t>917022250542
919742499727
918314200317
919091533458
919742364096</t>
  </si>
  <si>
    <t>https://www.linkedin.com/in/deepakkudachi/</t>
  </si>
  <si>
    <t>Preeti Taunk</t>
  </si>
  <si>
    <t>Director People &amp; Culture</t>
  </si>
  <si>
    <t>918287008452
919871235061
918591473321
919876545443</t>
  </si>
  <si>
    <t>https://www.linkedin.com/in/preeti-taunk-a4366858/</t>
  </si>
  <si>
    <t>Ajith Prakash</t>
  </si>
  <si>
    <t>Booking Holdings</t>
  </si>
  <si>
    <t>https://www.linkedin.com/in/ajithprakash/</t>
  </si>
  <si>
    <t>Actyv.ai</t>
  </si>
  <si>
    <t>Abhiroop Guha</t>
  </si>
  <si>
    <t>Expedia Group</t>
  </si>
  <si>
    <t>Head of Tech Hiring (APAC) &amp; Global TA Partner</t>
  </si>
  <si>
    <t>https://www.linkedin.com/in/abhiroop27/</t>
  </si>
  <si>
    <t>Syed Ibrahim</t>
  </si>
  <si>
    <t>ControlCase</t>
  </si>
  <si>
    <t>Global Chief Human Resource Officer</t>
  </si>
  <si>
    <t>919686305758
917795567867</t>
  </si>
  <si>
    <t>https://www.linkedin.com/in/syedibrahim786/</t>
  </si>
  <si>
    <t>Lincoln Victor</t>
  </si>
  <si>
    <t>Catalyst Brands</t>
  </si>
  <si>
    <t>https://www.linkedin.com/in/lincoln-victor-0b815617/</t>
  </si>
  <si>
    <t>Ideassion</t>
  </si>
  <si>
    <t>Debaprasad Dutta</t>
  </si>
  <si>
    <t>Albertsons Companies</t>
  </si>
  <si>
    <t>Senior Director - Talent</t>
  </si>
  <si>
    <t>https://www.linkedin.com/in/debaprasad-dutta-6a34184/</t>
  </si>
  <si>
    <t xml:space="preserve">Yashpal Singh </t>
  </si>
  <si>
    <t xml:space="preserve">Sonovision - Ortec Group  </t>
  </si>
  <si>
    <t>https://www.linkedin.com/in/yashpalsinghtatrws/</t>
  </si>
  <si>
    <t>Rupa Patra</t>
  </si>
  <si>
    <t>Jio Platforms Limited (JPL)</t>
  </si>
  <si>
    <t>Talent Acquisition</t>
  </si>
  <si>
    <t>https://www.linkedin.com/in/rupa-patra-28351b194/</t>
  </si>
  <si>
    <t>in ahemdabad for 6 month project</t>
  </si>
  <si>
    <t>Anu R</t>
  </si>
  <si>
    <t xml:space="preserve">Chandasmita Talukdar
</t>
  </si>
  <si>
    <t>Ensono</t>
  </si>
  <si>
    <t xml:space="preserve">AtkinsRéalis </t>
  </si>
  <si>
    <t>Vice President, Global Organization Development - Culture &amp; People Experience</t>
  </si>
  <si>
    <t>Senior Lead - Talent Acquisition India</t>
  </si>
  <si>
    <t>https://www.linkedin.com/in/chandasmita-talukdar/</t>
  </si>
  <si>
    <t>https://www.linkedin.com/in/anu-r-dr-anuradha-rao-8919a912/</t>
  </si>
  <si>
    <t>strategy planning meet from monday to wed</t>
  </si>
  <si>
    <t>ALON OS</t>
  </si>
  <si>
    <t>busy in placements</t>
  </si>
  <si>
    <t>Lata Bhat</t>
  </si>
  <si>
    <t xml:space="preserve">Akshay Jindal
</t>
  </si>
  <si>
    <t>Sasken Technologies</t>
  </si>
  <si>
    <t>Director HR</t>
  </si>
  <si>
    <t>https://www.linkedin.com/in/latabhat/</t>
  </si>
  <si>
    <t>https://www.linkedin.com/in/akshay-jindal/</t>
  </si>
  <si>
    <t>Aparna Chatterjee</t>
  </si>
  <si>
    <t>Vice President &amp; Global Head - Talent Acquisition</t>
  </si>
  <si>
    <t>Supriya Sudhakaran</t>
  </si>
  <si>
    <t>https://www.linkedin.com/in/aparna-chatterjee-446a5414/</t>
  </si>
  <si>
    <t>Head of HR - Business and Corporate Teams</t>
  </si>
  <si>
    <t>https://www.linkedin.com/in/supriyasudhakaran/</t>
  </si>
  <si>
    <t>Achappa Bheemaiah</t>
  </si>
  <si>
    <t>Netskope</t>
  </si>
  <si>
    <t>Groww</t>
  </si>
  <si>
    <t>https://www.linkedin.com/in/achappab/</t>
  </si>
  <si>
    <t>CRED</t>
  </si>
  <si>
    <t>Zerodha</t>
  </si>
  <si>
    <t>Anusha Hannah Malekar</t>
  </si>
  <si>
    <t>Trellix</t>
  </si>
  <si>
    <t xml:space="preserve">Lead - Talent Acquisition Partner </t>
  </si>
  <si>
    <t>Juspay</t>
  </si>
  <si>
    <t>https://www.linkedin.com/in/anusha-hannah-malekar-41673575/</t>
  </si>
  <si>
    <t>Chetan Y.</t>
  </si>
  <si>
    <t>Cashfree Payments</t>
  </si>
  <si>
    <t>https://www.linkedin.com/in/chetanyadav/</t>
  </si>
  <si>
    <t>Richi Singh</t>
  </si>
  <si>
    <t>Ivanti</t>
  </si>
  <si>
    <t>Director, Recruitment - APAC</t>
  </si>
  <si>
    <t>https://www.linkedin.com/in/richi-singh-44429318/</t>
  </si>
  <si>
    <t>Subeer Bakshi</t>
  </si>
  <si>
    <t>Navi Technologies</t>
  </si>
  <si>
    <t>Group Head of HR</t>
  </si>
  <si>
    <t>Karthik Nair</t>
  </si>
  <si>
    <t>Confluent</t>
  </si>
  <si>
    <t>Senior Director of Global Recruiting</t>
  </si>
  <si>
    <t>https://www.linkedin.com/in/karthiknair/</t>
  </si>
  <si>
    <t>https://www.linkedin.com/in/subeer-bakshi-a141403/</t>
  </si>
  <si>
    <t>DIDNT pick up</t>
  </si>
  <si>
    <t>Sanya Raina</t>
  </si>
  <si>
    <t>New Relic</t>
  </si>
  <si>
    <t xml:space="preserve">Sr Manager Talent Acquisition -EPD/GTM/ G&amp;A </t>
  </si>
  <si>
    <t>Viji Swaminathan</t>
  </si>
  <si>
    <t>Pine Labs</t>
  </si>
  <si>
    <t>https://www.linkedin.com/in/sanyaraina/</t>
  </si>
  <si>
    <t>https://www.linkedin.com/in/viji-swaminathan-42443b5/?skipRedirect=true</t>
  </si>
  <si>
    <t>invalid</t>
  </si>
  <si>
    <t>Mahesh Raju</t>
  </si>
  <si>
    <t>UiPath</t>
  </si>
  <si>
    <t>SR TA PARTNER</t>
  </si>
  <si>
    <t>https://www.linkedin.com/in/mrrju/</t>
  </si>
  <si>
    <t>Seema Nair</t>
  </si>
  <si>
    <t xml:space="preserve">no </t>
  </si>
  <si>
    <t>CHRO, Flipkart</t>
  </si>
  <si>
    <t>Akshay B</t>
  </si>
  <si>
    <t xml:space="preserve">Vialto </t>
  </si>
  <si>
    <t>Director—Global Talent Acquisition</t>
  </si>
  <si>
    <t>https://www.linkedin.com/in/seemanair1/</t>
  </si>
  <si>
    <t>akshay.bhat@vialtopartners.com</t>
  </si>
  <si>
    <t>https://www.linkedin.com/in/akshay-b-40658b7/</t>
  </si>
  <si>
    <t xml:space="preserve">didnt pick up, </t>
  </si>
  <si>
    <t>DMI</t>
  </si>
  <si>
    <t>no , meetings and wekday not possible</t>
  </si>
  <si>
    <t>PLUXEE India</t>
  </si>
  <si>
    <t>Shruthi Shetty</t>
  </si>
  <si>
    <t>EPAM</t>
  </si>
  <si>
    <t>Talent Acquisition Lead- Leadership Hiring</t>
  </si>
  <si>
    <t>shruthi_shetty@epam.com</t>
  </si>
  <si>
    <t>https://www.linkedin.com/in/shruthi-shetty-41a86038/</t>
  </si>
  <si>
    <t>Zepto</t>
  </si>
  <si>
    <t>Hemish Karthik</t>
  </si>
  <si>
    <t>Accenture</t>
  </si>
  <si>
    <t xml:space="preserve">Lead - Talent Acquisition </t>
  </si>
  <si>
    <t>https://www.linkedin.com/in/hemishkarthik/</t>
  </si>
  <si>
    <t>NoBroke</t>
  </si>
  <si>
    <t>Sonali Raj</t>
  </si>
  <si>
    <t>Tradeweb</t>
  </si>
  <si>
    <t>https://www.linkedin.com/in/sonali-raj-22877114a/</t>
  </si>
  <si>
    <t>Vaishali Rane</t>
  </si>
  <si>
    <t>Senior TA Partner</t>
  </si>
  <si>
    <t>95915 13711</t>
  </si>
  <si>
    <t>https://www.linkedin.com/in/vaishali-rane-she-her-24752b18/</t>
  </si>
  <si>
    <t>Padmaja Pandey</t>
  </si>
  <si>
    <t>BNP Paribas</t>
  </si>
  <si>
    <t>971507583063
919886461799</t>
  </si>
  <si>
    <t>https://www.linkedin.com/in/padmaja-pandey-8313a111/</t>
  </si>
  <si>
    <t>Rahul K</t>
  </si>
  <si>
    <t>Strategic TA Manager – Leadership Hiring</t>
  </si>
  <si>
    <t>Subex</t>
  </si>
  <si>
    <t>Shaishav Bhatnagar</t>
  </si>
  <si>
    <t>M&amp;G plc</t>
  </si>
  <si>
    <t>https://www.linkedin.com/in/shaishav-bhatnagar-29b7766/</t>
  </si>
  <si>
    <r>
      <rPr>
        <rFont val="Google Sans Mono"/>
        <color rgb="FF1157CE"/>
        <sz val="9.0"/>
      </rPr>
      <t>90048</t>
    </r>
    <r>
      <rPr>
        <rFont val="Google Sans Mono"/>
        <color theme="1"/>
        <sz val="9.0"/>
      </rPr>
      <t xml:space="preserve"> </t>
    </r>
    <r>
      <rPr>
        <rFont val="Google Sans Mono"/>
        <color rgb="FF1157CE"/>
        <sz val="9.0"/>
      </rPr>
      <t xml:space="preserve">57455 , </t>
    </r>
    <r>
      <rPr>
        <rFont val="Arial"/>
        <color theme="1"/>
      </rPr>
      <t xml:space="preserve"> 91686 41789</t>
    </r>
  </si>
  <si>
    <t>https://www.linkedin.com/in/rahul-k-219805135/</t>
  </si>
  <si>
    <t>Peepal consulting</t>
  </si>
  <si>
    <t>Sana Fateh</t>
  </si>
  <si>
    <t>NetApp</t>
  </si>
  <si>
    <t>Sowmya Krishnamoorthy</t>
  </si>
  <si>
    <t>Bank of America</t>
  </si>
  <si>
    <t>VP, Talent Acquisition - Global Technology</t>
  </si>
  <si>
    <t>sowmya.krishnamoorthy@bofa.com</t>
  </si>
  <si>
    <t>https://www.linkedin.com/in/sana-fathima-615ab79b/</t>
  </si>
  <si>
    <t>https://www.linkedin.com/in/sowmyamoorthy/</t>
  </si>
  <si>
    <t>Puneet Kumra</t>
  </si>
  <si>
    <t>Capgemini</t>
  </si>
  <si>
    <t>Sushant Kaul</t>
  </si>
  <si>
    <t>https://www.linkedin.com/in/puneetkumra/</t>
  </si>
  <si>
    <t>Associate Director – TA</t>
  </si>
  <si>
    <t xml:space="preserve"> 97384 11492</t>
  </si>
  <si>
    <t>https://www.linkedin.com/in/sushantkoul/</t>
  </si>
  <si>
    <t>Naveen Dabade</t>
  </si>
  <si>
    <t>Marelli</t>
  </si>
  <si>
    <t>Head of Recruitment</t>
  </si>
  <si>
    <t>https://www.linkedin.com/in/naveen-dabade/</t>
  </si>
  <si>
    <t>Kalpana Yemm</t>
  </si>
  <si>
    <t>Director TA</t>
  </si>
  <si>
    <t>Dileep</t>
  </si>
  <si>
    <t>UNSTOP</t>
  </si>
  <si>
    <t>Associate Director, TA – APAC</t>
  </si>
  <si>
    <t>SymphonyAI</t>
  </si>
  <si>
    <t>Prasad M</t>
  </si>
  <si>
    <t>97181 16504 ,  88003 72578</t>
  </si>
  <si>
    <t>LSEG (London Stock Exchange Group)</t>
  </si>
  <si>
    <t>https://www.linkedin.com/in/dileepkumar8434/</t>
  </si>
  <si>
    <t>https://www.linkedin.com/in/prasad-m-1874724/</t>
  </si>
  <si>
    <t xml:space="preserve">Reshmi Prakash
</t>
  </si>
  <si>
    <t>NoBroker.com</t>
  </si>
  <si>
    <t>Associate Director</t>
  </si>
  <si>
    <t>https://www.linkedin.com/in/reshmiprakash/</t>
  </si>
  <si>
    <t xml:space="preserve">asked for speaker list </t>
  </si>
  <si>
    <t>Rajat Sethi</t>
  </si>
  <si>
    <t>Head – HR Business Partnering &amp; TA</t>
  </si>
  <si>
    <t>Daimler Truck Innovation Center India (DTICI)</t>
  </si>
  <si>
    <t>Avijit Datta</t>
  </si>
  <si>
    <t>Diptiranjan Pradhan</t>
  </si>
  <si>
    <t>Acko</t>
  </si>
  <si>
    <t>Senior Manager - People Function (Technology, Data, Design, Business)</t>
  </si>
  <si>
    <t>70083 85634</t>
  </si>
  <si>
    <t>90515 77877 , 98361 48486</t>
  </si>
  <si>
    <t>diptiranjan.pradhan@acko.com</t>
  </si>
  <si>
    <t>https://www.linkedin.com/in/diptiranjan-pradhan/</t>
  </si>
  <si>
    <t>https://www.linkedin.com/in/avijitonline/</t>
  </si>
  <si>
    <t>Pavan Sriram</t>
  </si>
  <si>
    <t>Vice President - Talent Management</t>
  </si>
  <si>
    <t>https://www.linkedin.com/in/pavansriram/</t>
  </si>
  <si>
    <t>Daniel Richard</t>
  </si>
  <si>
    <t>Head of HR – India</t>
  </si>
  <si>
    <t>Welldoc</t>
  </si>
  <si>
    <t>90087 99441</t>
  </si>
  <si>
    <t>https://www.linkedin.com/in/daniel-richard-8a484517/</t>
  </si>
  <si>
    <t>Sulabh Kulshreshtha</t>
  </si>
  <si>
    <t>bigbasket</t>
  </si>
  <si>
    <t>Head of Human Resources</t>
  </si>
  <si>
    <t>https://www.linkedin.com/in/sulabhk/</t>
  </si>
  <si>
    <t>Campus drive</t>
  </si>
  <si>
    <t>Divakar A</t>
  </si>
  <si>
    <t>TA Leader</t>
  </si>
  <si>
    <t>Dassault Systèmes</t>
  </si>
  <si>
    <t>98442 64608</t>
  </si>
  <si>
    <t>https://www.linkedin.com/in/diwakar-a-3a53559</t>
  </si>
  <si>
    <t>Pandi Alagu Raja Mahamuni</t>
  </si>
  <si>
    <t>Deluxe</t>
  </si>
  <si>
    <t>Head - People &amp; Culture</t>
  </si>
  <si>
    <t>https://www.linkedin.com/in/pandialaguraja/</t>
  </si>
  <si>
    <t>Suresh Aade</t>
  </si>
  <si>
    <t>Guruprasad H L D</t>
  </si>
  <si>
    <t>Foodhub</t>
  </si>
  <si>
    <t>Global Talent Engagement Partner</t>
  </si>
  <si>
    <t>Diageo</t>
  </si>
  <si>
    <t>99018 10923</t>
  </si>
  <si>
    <t>suresh.aade@foodhub.com</t>
  </si>
  <si>
    <t>https://www.linkedin.com/in/suresh-aade/</t>
  </si>
  <si>
    <t>https://www.linkedin.com/in/guruprasad-h-d-2574b614/</t>
  </si>
  <si>
    <t>Purna Mahidhara</t>
  </si>
  <si>
    <t>Head of People Operations and HR Technology, Rewards</t>
  </si>
  <si>
    <t>919900316600
919845364450
919900316611
919845045315
919849118226</t>
  </si>
  <si>
    <t>TA Head – Talent Hub, South Asia and Middle East</t>
  </si>
  <si>
    <t>https://www.linkedin.com/in/mahidhara/</t>
  </si>
  <si>
    <t>Manav Chhabra</t>
  </si>
  <si>
    <t>Director &amp; Head of People Business Partners</t>
  </si>
  <si>
    <t>Ericsson</t>
  </si>
  <si>
    <t>98181 07857</t>
  </si>
  <si>
    <t>https://www.linkedin.com/in/manav-chhabra-48a84a39/</t>
  </si>
  <si>
    <t>want transport</t>
  </si>
  <si>
    <t>Kavitha Shivakumar</t>
  </si>
  <si>
    <t>Senior Director HR - India and Cairo</t>
  </si>
  <si>
    <t>https://www.linkedin.com/in/kavitha-shivakumar/</t>
  </si>
  <si>
    <t>already in touch</t>
  </si>
  <si>
    <t>Vanitha V</t>
  </si>
  <si>
    <t>TA Leader – Tech Hiring</t>
  </si>
  <si>
    <t>https://www.linkedin.com/in/vanitha-v-b465305/</t>
  </si>
  <si>
    <t>Neethesh Thomas</t>
  </si>
  <si>
    <t>Sonata Software</t>
  </si>
  <si>
    <t>AVP HR</t>
  </si>
  <si>
    <t>https://www.linkedin.com/in/neethesh-thomas/?skipRedirect=true</t>
  </si>
  <si>
    <t>Adarsh Naik</t>
  </si>
  <si>
    <t>Senior General Manager</t>
  </si>
  <si>
    <t>Head – India TA</t>
  </si>
  <si>
    <t>https://www.linkedin.com/in/tarunareddy/?skipRedirect=true</t>
  </si>
  <si>
    <t>Niloy Bakshi</t>
  </si>
  <si>
    <t>United Airlines</t>
  </si>
  <si>
    <t xml:space="preserve">Stella Joshua
</t>
  </si>
  <si>
    <t xml:space="preserve">Pure Storage (now Everpure) </t>
  </si>
  <si>
    <t>Senior Director - HR, APJ</t>
  </si>
  <si>
    <t>919845681309
918044268187</t>
  </si>
  <si>
    <t>https://www.linkedin.com/in/stella-joshua-0366b85/</t>
  </si>
  <si>
    <t>Sai Supraja Sankara</t>
  </si>
  <si>
    <t>Senior Manager TA</t>
  </si>
  <si>
    <t>Genzeon</t>
  </si>
  <si>
    <t>Savitha K R</t>
  </si>
  <si>
    <t>Head of Recruiting</t>
  </si>
  <si>
    <t>evolutiq</t>
  </si>
  <si>
    <t>919741382926
918041303530
918041961000</t>
  </si>
  <si>
    <t>https://www.linkedin.com/in/savitha-k-r-2b3a984/</t>
  </si>
  <si>
    <t>Sowmya Mallaiah</t>
  </si>
  <si>
    <t>Vice President, Head People</t>
  </si>
  <si>
    <t>918040440354
919845306002
919980666738
919632551202</t>
  </si>
  <si>
    <t>sowmya@tekion.com</t>
  </si>
  <si>
    <t>https://www.linkedin.com/in/sowmya-mallaiah-b832214/</t>
  </si>
  <si>
    <t>Nishant Chaturvedi</t>
  </si>
  <si>
    <t>Head TA – CBA Analytics</t>
  </si>
  <si>
    <t>Chubb</t>
  </si>
  <si>
    <t>Gloria Davis</t>
  </si>
  <si>
    <t>Maybank</t>
  </si>
  <si>
    <t>Head of Human Capital</t>
  </si>
  <si>
    <t>https://www.linkedin.com/in/nishant-chaturvedi-801364283/?skipRedirect=true</t>
  </si>
  <si>
    <t>https://www.linkedin.com/in/gloriadavis/</t>
  </si>
  <si>
    <t>Shubha Joseph</t>
  </si>
  <si>
    <t>Bipin Tewari</t>
  </si>
  <si>
    <t>Trane Technologies</t>
  </si>
  <si>
    <t>Talent Acquisition Leader-India</t>
  </si>
  <si>
    <t>Vijayalakshmi P</t>
  </si>
  <si>
    <t>LeadSoc Technologies Pvt Ltd</t>
  </si>
  <si>
    <t>https://www.linkedin.com/in/vijayalekshmi-p-70976623/</t>
  </si>
  <si>
    <t>Syed Khan</t>
  </si>
  <si>
    <t>Tavant</t>
  </si>
  <si>
    <t>Global Head - Talent Acquisition</t>
  </si>
  <si>
    <t>syed.khan@tavant.com</t>
  </si>
  <si>
    <t>https://www.linkedin.com/in/syed-khan-4421aa7/</t>
  </si>
  <si>
    <t>Santosh</t>
  </si>
  <si>
    <t>Arrow electric</t>
  </si>
  <si>
    <t>https://www.linkedin.com/in/gerald-santosh-26469363/</t>
  </si>
  <si>
    <t>NXT TIME, CURRENTLY A CALL AT THAT TIME</t>
  </si>
  <si>
    <t>Rohan Kapoor</t>
  </si>
  <si>
    <t>Vyapar</t>
  </si>
  <si>
    <t>919953894625
919810248589
911244135800</t>
  </si>
  <si>
    <t>rohankapoor@vyaparapp.in</t>
  </si>
  <si>
    <t>https://www.linkedin.com/in/rohank15/</t>
  </si>
  <si>
    <t>https://www.linkedin.com/in/pavan-kumar-7889968/</t>
  </si>
  <si>
    <t>Karthik M R</t>
  </si>
  <si>
    <t xml:space="preserve">Festo India </t>
  </si>
  <si>
    <t>karthik.mr@festo.com</t>
  </si>
  <si>
    <t>https://www.linkedin.com/in/karthikmr/</t>
  </si>
  <si>
    <t>someone else</t>
  </si>
  <si>
    <t>Ishwar Hegde</t>
  </si>
  <si>
    <t>Head of Talent Acquisition - India</t>
  </si>
  <si>
    <t>ishwarhegde@gmail.com</t>
  </si>
  <si>
    <t>https://www.linkedin.com/in/ishwarhegde/</t>
  </si>
  <si>
    <t>Nikhil Tanwade</t>
  </si>
  <si>
    <t>First Advantage</t>
  </si>
  <si>
    <t>Director Talent Acquisition (India, APac)</t>
  </si>
  <si>
    <t>919222152684
919820284595</t>
  </si>
  <si>
    <t>nikhil.tanwade@fadv.com</t>
  </si>
  <si>
    <t>https://www.linkedin.com/in/nikhiltanwade/</t>
  </si>
  <si>
    <t>Subhajit Ghosh</t>
  </si>
  <si>
    <t>HARMAN International</t>
  </si>
  <si>
    <t>subhajit.ghosh@harman.com</t>
  </si>
  <si>
    <t>https://www.linkedin.com/in/ghoshsubhajit/</t>
  </si>
  <si>
    <t>Vijay Linus</t>
  </si>
  <si>
    <t>Director Talent Acquisition APAC</t>
  </si>
  <si>
    <t>vijay.linus@cgi.com</t>
  </si>
  <si>
    <t>https://www.linkedin.com/in/vijay-linus-989575/</t>
  </si>
  <si>
    <t>Ashish Saigal</t>
  </si>
  <si>
    <t>Standard Chartered</t>
  </si>
  <si>
    <t>ashish.saigal@sc.com</t>
  </si>
  <si>
    <t>https://www.linkedin.com/in/ashish-saigal/</t>
  </si>
  <si>
    <t>Ajay Tanwar</t>
  </si>
  <si>
    <t>R Systems</t>
  </si>
  <si>
    <t>919811678954
91925036740291  9716106481</t>
  </si>
  <si>
    <t>ajay.tanwar@rsystems.com</t>
  </si>
  <si>
    <t>https://www.linkedin.com/in/ajaybit2001/</t>
  </si>
  <si>
    <t>Reena Dhir Arora</t>
  </si>
  <si>
    <t>reena.arora@sagilityhealth.com</t>
  </si>
  <si>
    <t>https://www.linkedin.com/in/reena-dhir-arora-861a1646/</t>
  </si>
  <si>
    <t>Harsha Prabhakar Singh</t>
  </si>
  <si>
    <t>LTI Mindtree</t>
  </si>
  <si>
    <t>Associate Director, Talent Acquisition</t>
  </si>
  <si>
    <t>harsha.singh@ltimindtree.com</t>
  </si>
  <si>
    <t>https://www.linkedin.com/in/harsha-prabhakar-singh-08b7ba15</t>
  </si>
  <si>
    <t xml:space="preserve">Mohan J.
</t>
  </si>
  <si>
    <t>Epsilon</t>
  </si>
  <si>
    <t xml:space="preserve">Sr. Director - Talent Acquisition </t>
  </si>
  <si>
    <t>mohan.j@epsilon.com</t>
  </si>
  <si>
    <t>https://www.linkedin.com/in/mohanj1/</t>
  </si>
  <si>
    <t>Shayutha K B</t>
  </si>
  <si>
    <t>Director-Talent Acquisition &amp; Campus</t>
  </si>
  <si>
    <t>https://www.linkedin.com/in/shayuthakb/</t>
  </si>
  <si>
    <t>Jagan Mohan C</t>
  </si>
  <si>
    <t>Senior Director – Talent Acquisition</t>
  </si>
  <si>
    <t>https://www.linkedin.com/in/jagan-mohan-c-84b5a67/</t>
  </si>
  <si>
    <t>Praveen Chandrasekaran</t>
  </si>
  <si>
    <t>LTM</t>
  </si>
  <si>
    <t>praveen.chandrasekaran@ltimindtree.com, praveen.chandrasekaran@ltm.com</t>
  </si>
  <si>
    <t>https://www.linkedin.com/in/praveencsn/</t>
  </si>
  <si>
    <t>Senthil Kuppusamy</t>
  </si>
  <si>
    <t xml:space="preserve">Larsen &amp; Toubro </t>
  </si>
  <si>
    <t>https://www.linkedin.com/in/senthilkuppusamy/</t>
  </si>
  <si>
    <t>Raihan Shahzada</t>
  </si>
  <si>
    <t>ITC Infotech</t>
  </si>
  <si>
    <t>raihan.shahzada@itcinfotech.com</t>
  </si>
  <si>
    <t>https://www.linkedin.com/in/raihan-shahzada-582aa47/</t>
  </si>
  <si>
    <t>Girish Nandimath</t>
  </si>
  <si>
    <t>Tata Consultancy Services</t>
  </si>
  <si>
    <t xml:space="preserve">Global Head, Talent Acquisition </t>
  </si>
  <si>
    <t>girish.nandimathv@tcs.com</t>
  </si>
  <si>
    <t>https://www.linkedin.com/in/girish-nandimath-a4040316/</t>
  </si>
  <si>
    <t>Shivakumar B</t>
  </si>
  <si>
    <t>SmartSoC Solutions Pvt Ltd</t>
  </si>
  <si>
    <t>Head of Talent Acquisition | Semiconductor &amp; VLSI | GCC Hiring | Global Hiring Leader</t>
  </si>
  <si>
    <t>https://www.linkedin.com/in/shivakumarkb/</t>
  </si>
  <si>
    <t>Pooja Gupta</t>
  </si>
  <si>
    <t>pooja3.gupta@capgemini.com</t>
  </si>
  <si>
    <t>https://www.linkedin.com/in/poojaguptacapgemini/</t>
  </si>
  <si>
    <t>Anchan Arasinaguppe</t>
  </si>
  <si>
    <t>TEKsystems Global Services in India</t>
  </si>
  <si>
    <t>aarasina@teksystems.com</t>
  </si>
  <si>
    <t>https://www.linkedin.com/in/anchanarasinaguppe/</t>
  </si>
  <si>
    <t>Shyam Krishnan B</t>
  </si>
  <si>
    <t>ACI Worldwide</t>
  </si>
  <si>
    <t>Senior Talent Acquisition Partner</t>
  </si>
  <si>
    <t>https://www.linkedin.com/in/shyam-krishnan-b-52ab2624?originalSubdomain=in</t>
  </si>
  <si>
    <t>Guljeet (Gul) Bakshi</t>
  </si>
  <si>
    <t>Xactly Corp</t>
  </si>
  <si>
    <t>https://www.linkedin.com/in/guljeet-gul-bakshi-a5915711/</t>
  </si>
  <si>
    <t>Lokesh Kariappa</t>
  </si>
  <si>
    <t>Adecco</t>
  </si>
  <si>
    <t>VP, Head of Talent Acquisition</t>
  </si>
  <si>
    <t>https://www.linkedin.com/in/lokeshkariappa/</t>
  </si>
  <si>
    <t>Lakshmi Jayaprakash</t>
  </si>
  <si>
    <t>Global Head of TA process, programs and Coordination</t>
  </si>
  <si>
    <t>91 99014 55725</t>
  </si>
  <si>
    <t xml:space="preserve"> </t>
  </si>
  <si>
    <t>https://www.linkedin.com/in/lakshmijayaprakash/</t>
  </si>
  <si>
    <t>Sunil Joice</t>
  </si>
  <si>
    <t>HARMAN India</t>
  </si>
  <si>
    <t>Director, India Talent Acquisition</t>
  </si>
  <si>
    <t>https://www.linkedin.com/in/sunil-joice-90b43b6/</t>
  </si>
  <si>
    <t>Sunistha Singh</t>
  </si>
  <si>
    <t xml:space="preserve">NXP Semiconductors </t>
  </si>
  <si>
    <t>https://www.linkedin.com/in/sunisthasingh/</t>
  </si>
  <si>
    <t>Karan Yadav</t>
  </si>
  <si>
    <t>AXA</t>
  </si>
  <si>
    <t xml:space="preserve">Head of Talent Acquisition - India &amp; Poland </t>
  </si>
  <si>
    <t>https://www.linkedin.com/in/karanhiringleaderyaxa/</t>
  </si>
  <si>
    <t>Siva Murugan S</t>
  </si>
  <si>
    <t>Sony</t>
  </si>
  <si>
    <t>https://www.linkedin.com/in/mmssiva/</t>
  </si>
  <si>
    <t xml:space="preserve">Sutapa Banerjee </t>
  </si>
  <si>
    <t>sutapa.banerjee@socgen.com</t>
  </si>
  <si>
    <t>https://www.linkedin.com/in/sutapa-banerjee-she-her-8ba69b1a/</t>
  </si>
  <si>
    <t xml:space="preserve">Akshat Gupta
</t>
  </si>
  <si>
    <t>Talent Acquisition Leader, Asia Pacific &amp; Japan - Clinical Research (PPD)</t>
  </si>
  <si>
    <t>https://www.linkedin.com/in/akshatgupta1/</t>
  </si>
  <si>
    <t>Ashish Garg</t>
  </si>
  <si>
    <t>Head of Talent Acquisition, India &amp; Philippines</t>
  </si>
  <si>
    <t>https://www.linkedin.com/in/agarg/</t>
  </si>
  <si>
    <t>Rahul Kapase</t>
  </si>
  <si>
    <t>Zebra Technologies</t>
  </si>
  <si>
    <t>https://www.linkedin.com/in/rahulkapase/</t>
  </si>
  <si>
    <t>Ashok Singh</t>
  </si>
  <si>
    <t>Arista Networks</t>
  </si>
  <si>
    <t>https://www.linkedin.com/in/ashokesingh/</t>
  </si>
  <si>
    <t>Sushma Nayak</t>
  </si>
  <si>
    <t>CSG</t>
  </si>
  <si>
    <t>https://www.linkedin.com/in/sushmanayak11/</t>
  </si>
  <si>
    <t>Rissey Babu</t>
  </si>
  <si>
    <t>Capital One</t>
  </si>
  <si>
    <t>https://www.linkedin.com/in/rissey-babu-21802a25/</t>
  </si>
  <si>
    <t>Ameet Kumar</t>
  </si>
  <si>
    <t>Solara Active Pharma Sciences</t>
  </si>
  <si>
    <t>Corporate HR Head</t>
  </si>
  <si>
    <t>https://www.linkedin.com/in/ameet-kumar-2164509/?isSelfProfile=false</t>
  </si>
  <si>
    <t>Anshuman Tiwari</t>
  </si>
  <si>
    <t xml:space="preserve">GSK </t>
  </si>
  <si>
    <t xml:space="preserve">GXO - Global Experience Owner | Human Resources </t>
  </si>
  <si>
    <t>https://www.linkedin.com/in/anshuman/</t>
  </si>
  <si>
    <t xml:space="preserve">Bhawish Awasthy
</t>
  </si>
  <si>
    <t>SolarEdge Technologies</t>
  </si>
  <si>
    <t>Human Resources Director</t>
  </si>
  <si>
    <t>https://www.linkedin.com/in/bhawish-awasthy05/</t>
  </si>
  <si>
    <t>Puja Rungta Agarwal</t>
  </si>
  <si>
    <t>Happiest Minds Technologies</t>
  </si>
  <si>
    <t>Senior Director - Total Rewards</t>
  </si>
  <si>
    <t>https://www.linkedin.com/in/puja-rungta-agarwal-99965221/</t>
  </si>
  <si>
    <t xml:space="preserve">Sreekumar Kadavath
</t>
  </si>
  <si>
    <t>Vice President - HR</t>
  </si>
  <si>
    <t>Srinivasa Rao</t>
  </si>
  <si>
    <t>Hilton</t>
  </si>
  <si>
    <t>Cluster Director of Human Resources</t>
  </si>
  <si>
    <t>https://www.linkedin.com/in/srinivasa-rao-54598923/</t>
  </si>
  <si>
    <t>Swati Raghunandan</t>
  </si>
  <si>
    <t>UnitedHealth Group</t>
  </si>
  <si>
    <t>Associate Director People Business Partner</t>
  </si>
  <si>
    <t>https://www.linkedin.com/in/swatiraghunandan/</t>
  </si>
  <si>
    <t>Tanmay Agarwal</t>
  </si>
  <si>
    <t>Wipro</t>
  </si>
  <si>
    <t xml:space="preserve">Vice President &amp; Head Global People Operations </t>
  </si>
  <si>
    <t>https://www.linkedin.com/in/tanmay-agarwal-783a728/</t>
  </si>
  <si>
    <t>no , text</t>
  </si>
  <si>
    <t>Trina Dhar (Kini)</t>
  </si>
  <si>
    <t>Collins Aerospace</t>
  </si>
  <si>
    <t>Associate Director HR | Global Engineering &amp; Technology Centers</t>
  </si>
  <si>
    <t>https://www.linkedin.com/in/trina-dhar-kini-4300185/</t>
  </si>
  <si>
    <t>NO</t>
  </si>
  <si>
    <t>Yamini Krishnan</t>
  </si>
  <si>
    <t>Senior Director - HR, CHILSA RBU (Switzerland, Israel &amp; South Asia)</t>
  </si>
  <si>
    <t>https://www.linkedin.com/in/yaminikrishnan/</t>
  </si>
  <si>
    <t xml:space="preserve">Jacqueline Dolphina </t>
  </si>
  <si>
    <t xml:space="preserve">Neurealm </t>
  </si>
  <si>
    <t>https://www.linkedin.com/in/jackiedolphina/</t>
  </si>
  <si>
    <t>Virupaksha A</t>
  </si>
  <si>
    <t>alanka@adode.com</t>
  </si>
  <si>
    <t>https://www.linkedin.com/in/virupaksha/</t>
  </si>
  <si>
    <t>Mohan</t>
  </si>
  <si>
    <t>Epicor</t>
  </si>
  <si>
    <t xml:space="preserve">Head Talent Acquisition - India &amp; Global Contingent Hiring
</t>
  </si>
  <si>
    <t>https://www.linkedin.com/in/mohan-ramakrishna-mrk/</t>
  </si>
  <si>
    <t>Kapil Raj S</t>
  </si>
  <si>
    <t>MathCo</t>
  </si>
  <si>
    <t>https://www.linkedin.com/in/kapilrajs/</t>
  </si>
  <si>
    <t>Britya Misra Sanyal</t>
  </si>
  <si>
    <t xml:space="preserve">Philips </t>
  </si>
  <si>
    <t>Head of Strategic Priorities Hiring, India</t>
  </si>
  <si>
    <t>britya.misra@phillips.com</t>
  </si>
  <si>
    <t>https://www.linkedin.com/in/britya/</t>
  </si>
  <si>
    <t>Sanavulla C</t>
  </si>
  <si>
    <t>HighLevel</t>
  </si>
  <si>
    <t>Lead - Talent Acquisition</t>
  </si>
  <si>
    <t>https://www.linkedin.com/in/sanavulla-c-9ba2bba4/</t>
  </si>
  <si>
    <t>Sandhya Manjunath</t>
  </si>
  <si>
    <t>TE Connectivity</t>
  </si>
  <si>
    <t>Head of Talent Attraction - India &amp; SEA</t>
  </si>
  <si>
    <t>https://www.linkedin.com/in/sandhya-manjunath-b0364951/</t>
  </si>
  <si>
    <t>Ramdas Nayak</t>
  </si>
  <si>
    <t>Quest Global</t>
  </si>
  <si>
    <t>Head of Talent Acquisition -India</t>
  </si>
  <si>
    <t>https://www.linkedin.com/in/ramdas-nayak-47b441b/</t>
  </si>
  <si>
    <t>Shweta Malik</t>
  </si>
  <si>
    <t>ACT FIBERNET</t>
  </si>
  <si>
    <t>Head Talent Acquisition - India &amp; Global Contingent Hiring</t>
  </si>
  <si>
    <t>919167343525
919833983958</t>
  </si>
  <si>
    <t>https://www.linkedin.com/in/shweta-malik-2a347a21/</t>
  </si>
  <si>
    <t>Sumit Chandra</t>
  </si>
  <si>
    <t>918886062825
919908022230
919222230220
919911434308</t>
  </si>
  <si>
    <t>https://www.linkedin.com/in/chandrasumit/</t>
  </si>
  <si>
    <t>Vice President and Head of People &amp; Communities, India and South Asia</t>
  </si>
  <si>
    <t>https://www.linkedin.com/in/gauravahluwalia20/</t>
  </si>
  <si>
    <t>Arunkumar Babu</t>
  </si>
  <si>
    <t>Telstra</t>
  </si>
  <si>
    <t>Global Recruitment Leader, India</t>
  </si>
  <si>
    <t>https://www.linkedin.com/in/arunkumarbabuhr/</t>
  </si>
  <si>
    <t xml:space="preserve">switch off </t>
  </si>
  <si>
    <t>Swathi</t>
  </si>
  <si>
    <t xml:space="preserve">Associate Director - Talent Acquisition </t>
  </si>
  <si>
    <t>https://www.linkedin.com/in/swathi-shetty-658259102/</t>
  </si>
  <si>
    <r>
      <rPr>
        <rFont val="Arial"/>
        <u/>
      </rPr>
      <t>Jaikrishna B (JK)</t>
    </r>
  </si>
  <si>
    <t>Sindhu Sathya</t>
  </si>
  <si>
    <t xml:space="preserve">Zinnia </t>
  </si>
  <si>
    <t>Director, Talent Acquisition and Strategy</t>
  </si>
  <si>
    <t>https://www.linkedin.com/in/sisathya/</t>
  </si>
  <si>
    <t xml:space="preserve">left company </t>
  </si>
  <si>
    <t>Deepa J.</t>
  </si>
  <si>
    <t>Valtech</t>
  </si>
  <si>
    <t>Senior Director &amp; Head TA</t>
  </si>
  <si>
    <t>https://www.linkedin.com/in/deepajagarlapudi/</t>
  </si>
  <si>
    <t>Chief Human Resources Officer and CSR Leader at Myntra</t>
  </si>
  <si>
    <t>Rahul Jain</t>
  </si>
  <si>
    <t>GoTo Group</t>
  </si>
  <si>
    <t>Global Head of Recruitment</t>
  </si>
  <si>
    <t>Gopalji</t>
  </si>
  <si>
    <t>Head HR at Swiggy</t>
  </si>
  <si>
    <r>
      <rPr>
        <rFont val="Arial"/>
        <u/>
      </rPr>
      <t>Jaspreet Bakshi</t>
    </r>
  </si>
  <si>
    <t>https://www.linkedin.com/in/rahuljaintaleader/</t>
  </si>
  <si>
    <t>President - Group HR at Amara Raja Group</t>
  </si>
  <si>
    <r>
      <rPr>
        <rFont val="Arial"/>
        <u/>
      </rPr>
      <t>Shruti Walia</t>
    </r>
  </si>
  <si>
    <t>Rahul Nandi</t>
  </si>
  <si>
    <t xml:space="preserve">VOIS </t>
  </si>
  <si>
    <t>Global Head of Talent Acquisition &amp; Senior Vice President</t>
  </si>
  <si>
    <t>https://www.linkedin.com/in/rahulnandi17/</t>
  </si>
  <si>
    <t>CHRO ACME</t>
  </si>
  <si>
    <r>
      <rPr>
        <rFont val="Arial"/>
        <u/>
      </rPr>
      <t>Kashmira Pawar</t>
    </r>
  </si>
  <si>
    <t>Vishal Bansal</t>
  </si>
  <si>
    <t>ThoughtFocus</t>
  </si>
  <si>
    <t>Senior Director and Head of Talent Acquisition</t>
  </si>
  <si>
    <t>919545390736
919463861572
917760314167
917767924695</t>
  </si>
  <si>
    <t>https://www.linkedin.com/in/vishal-bansal-a977731/</t>
  </si>
  <si>
    <t>Partner &amp; India HR Leader at Marsh McLennan</t>
  </si>
  <si>
    <r>
      <rPr>
        <rFont val="Arial"/>
        <u/>
      </rPr>
      <t>Maneesh Menda</t>
    </r>
  </si>
  <si>
    <t>Satendra Kumar</t>
  </si>
  <si>
    <t>Renesas Electronics</t>
  </si>
  <si>
    <t>Country TA Manager</t>
  </si>
  <si>
    <t>https://www.linkedin.com/in/satendra-kumar-6b79a03/</t>
  </si>
  <si>
    <t>Head of HR at Cure.fit</t>
  </si>
  <si>
    <r>
      <rPr>
        <rFont val="Arial"/>
        <u/>
      </rPr>
      <t>Prateek Roy Chowdhury</t>
    </r>
  </si>
  <si>
    <t>Chandna Raja G</t>
  </si>
  <si>
    <t>Head HR Operations &amp; Technology at SUN PHARMA</t>
  </si>
  <si>
    <t>Director - Global Talent Acquisition Cloud Infrastructure and Cyber Security</t>
  </si>
  <si>
    <r>
      <rPr>
        <rFont val="Arial"/>
        <u/>
      </rPr>
      <t>Vaibhav Chaturvedi</t>
    </r>
  </si>
  <si>
    <t>chandna.rajag@wipro.com</t>
  </si>
  <si>
    <t>https://www.linkedin.com/in/chandnarajag/</t>
  </si>
  <si>
    <t>Head of HR- International Hubs at NatWest Group</t>
  </si>
  <si>
    <r>
      <rPr>
        <rFont val="Arial"/>
        <u/>
      </rPr>
      <t>Sandiep Batra</t>
    </r>
  </si>
  <si>
    <t>Neeraj Sharma</t>
  </si>
  <si>
    <t>Ola Electric</t>
  </si>
  <si>
    <t>TA Head</t>
  </si>
  <si>
    <t>neeraj.sharma@olaelectric.com</t>
  </si>
  <si>
    <t>https://www.linkedin.com/in/neeraj-sharma-a8250922b/</t>
  </si>
  <si>
    <t>Saurav Pandey</t>
  </si>
  <si>
    <t>PTC</t>
  </si>
  <si>
    <t>Principal Talent Acquisition Partner</t>
  </si>
  <si>
    <t>saupandey@ptc.com</t>
  </si>
  <si>
    <t>https://www.linkedin.com/in/saurav-pandey-8470894a/</t>
  </si>
  <si>
    <t>Simar Deep Kaur</t>
  </si>
  <si>
    <t>Head of Talent - South Asia Region at Nestle</t>
  </si>
  <si>
    <r>
      <rPr>
        <rFont val="Arial"/>
        <u/>
      </rPr>
      <t>Vikramjeet Singh</t>
    </r>
  </si>
  <si>
    <t>Shivangi Tyagi</t>
  </si>
  <si>
    <t>Senior Director (HR)</t>
  </si>
  <si>
    <t>shivangi.t@zeta.com</t>
  </si>
  <si>
    <t>https://www.linkedin.com/in/shivangi-tyagi-655a0435/</t>
  </si>
  <si>
    <t>CPO Adani Airport</t>
  </si>
  <si>
    <r>
      <rPr>
        <rFont val="Arial"/>
        <u/>
      </rPr>
      <t>Deepti Varma</t>
    </r>
  </si>
  <si>
    <t>Srikant Raje Urs H .S</t>
  </si>
  <si>
    <t>Bounteous</t>
  </si>
  <si>
    <t>Senior Director-Talent Acquisition</t>
  </si>
  <si>
    <t xml:space="preserve">call back </t>
  </si>
  <si>
    <t xml:space="preserve">Ajith Prabhaker V
</t>
  </si>
  <si>
    <t>Visionet Systems Inc.</t>
  </si>
  <si>
    <t>ajith.p@visionet.com</t>
  </si>
  <si>
    <t>Chief Human Resource Officer - Max India</t>
  </si>
  <si>
    <t>https://www.linkedin.com/in/sonublr19/</t>
  </si>
  <si>
    <r>
      <rPr>
        <rFont val="Arial"/>
        <u/>
      </rPr>
      <t>Abhishek Mehrotra</t>
    </r>
  </si>
  <si>
    <t xml:space="preserve">no pickup </t>
  </si>
  <si>
    <t>Senior President and Chief Human Resources, Investigation &amp; Loss Mitigation and Administration at Bajaj Allianz General Insurance</t>
  </si>
  <si>
    <r>
      <rPr>
        <rFont val="Arial"/>
        <u/>
      </rPr>
      <t>Vij, Deepti</t>
    </r>
  </si>
  <si>
    <t>VP HR amazon</t>
  </si>
  <si>
    <t>Amit Vaish</t>
  </si>
  <si>
    <t>CHRO - Yubi Group</t>
  </si>
  <si>
    <r>
      <rPr>
        <rFont val="Arial"/>
        <u/>
      </rPr>
      <t>Arjit Mehrotra</t>
    </r>
  </si>
  <si>
    <t>Director, honeywell</t>
  </si>
  <si>
    <t>Satish Mohapatra</t>
  </si>
  <si>
    <t>head of hr optum</t>
  </si>
  <si>
    <t>Smitha Subhas</t>
  </si>
  <si>
    <t>Head of HR - Digital &amp; Data Labs (GCC &amp; India) at Landmark Group</t>
  </si>
  <si>
    <r>
      <rPr>
        <rFont val="Arial"/>
        <u/>
      </rPr>
      <t>Girish Kohli</t>
    </r>
  </si>
  <si>
    <t>HR at Maruti Suzuki India Limited</t>
  </si>
  <si>
    <t>Anand Arora</t>
  </si>
  <si>
    <t>Director HR, uber</t>
  </si>
  <si>
    <t>Ranjit Khompi</t>
  </si>
  <si>
    <t>General Manager - HRGeneral Manager - HR</t>
  </si>
  <si>
    <t>Majid Ali khan</t>
  </si>
  <si>
    <t>Landmark</t>
  </si>
  <si>
    <t>Sweety Rath</t>
  </si>
  <si>
    <t xml:space="preserve">Reliance </t>
  </si>
  <si>
    <t>Sudhir Warier</t>
  </si>
  <si>
    <t>CMS</t>
  </si>
  <si>
    <t>Gauri Das</t>
  </si>
  <si>
    <t>Avaya</t>
  </si>
  <si>
    <t>Sunny Verma</t>
  </si>
  <si>
    <t>LnD reliance jio</t>
  </si>
  <si>
    <t>Loly Vadassery</t>
  </si>
  <si>
    <t>Vice President and Head of Human Resources at India Factoring and Finance Solutions Private Limited (A Member of the FIMBank Group)</t>
  </si>
  <si>
    <t>Nandini Sarkar</t>
  </si>
  <si>
    <t>Learning &amp; Organizational Development + Human Resources at JBM Group</t>
  </si>
  <si>
    <t>Jubin Kapasi</t>
  </si>
  <si>
    <t>Chief Human Resources Officer at Datamatics Business Solutions</t>
  </si>
  <si>
    <t>Megha Jigalur</t>
  </si>
  <si>
    <t>Global Head - Diversity 360, Culture and Belonging at Hitachi Energy</t>
  </si>
  <si>
    <t>Arun M</t>
  </si>
  <si>
    <t>Senior Director- Human Capital at Myntra</t>
  </si>
  <si>
    <t>Yashpal Singh Parihar</t>
  </si>
  <si>
    <t>Vervent</t>
  </si>
  <si>
    <t>Dr. Anuradha Rao H.C</t>
  </si>
  <si>
    <t>Dr. Padmaja Palekar</t>
  </si>
  <si>
    <t>Ortec Group</t>
  </si>
  <si>
    <t>Preeti Patilkulkarni</t>
  </si>
  <si>
    <t>Director HR, Ensono</t>
  </si>
  <si>
    <r>
      <rPr>
        <rFont val="Arial"/>
        <u/>
      </rPr>
      <t>Dr. Aman Jain</t>
    </r>
  </si>
  <si>
    <t>People Experience, Global Mobility Asia, Unilever</t>
  </si>
  <si>
    <t>Rosina Jose</t>
  </si>
  <si>
    <t>Global HR Director, Schneider Electric</t>
  </si>
  <si>
    <t>Gaurav Garg</t>
  </si>
  <si>
    <t>Chief Human Resources Officer at E2E Rail</t>
  </si>
  <si>
    <t>Sarabjeet Singh</t>
  </si>
  <si>
    <t>Rakuten India</t>
  </si>
  <si>
    <t>Rahul K Ravindran</t>
  </si>
  <si>
    <t>Mahantesh C.N</t>
  </si>
  <si>
    <t>Culture and India Site Lead Helpshift</t>
  </si>
  <si>
    <t>Harini Sreenivasan</t>
  </si>
  <si>
    <t>L &amp; D Head, Marlabs</t>
  </si>
  <si>
    <t>Arun Chitlangia</t>
  </si>
  <si>
    <t>Head-HR, Cyient</t>
  </si>
  <si>
    <r>
      <rPr>
        <rFont val="Arial"/>
        <u/>
      </rPr>
      <t>Sukhjit S Pasricha</t>
    </r>
  </si>
  <si>
    <t>Partner, Semcostyle Institute India LLP</t>
  </si>
  <si>
    <r>
      <rPr>
        <rFont val="Arial"/>
        <color theme="1"/>
        <u/>
      </rPr>
      <t>Manmohan S. Kalsy</t>
    </r>
  </si>
  <si>
    <t>CEO, Training Tree</t>
  </si>
  <si>
    <r>
      <rPr>
        <rFont val="Arial"/>
        <u/>
      </rPr>
      <t>Sandeep G</t>
    </r>
  </si>
  <si>
    <t xml:space="preserve">Group CHRO </t>
  </si>
  <si>
    <r>
      <rPr>
        <rFont val="Arial"/>
        <u/>
      </rPr>
      <t>Ayaskant Sarangi</t>
    </r>
  </si>
  <si>
    <t>CHRO Inbrew</t>
  </si>
  <si>
    <r>
      <rPr>
        <rFont val="Arial"/>
        <u/>
      </rPr>
      <t>Ayush Gupta</t>
    </r>
  </si>
  <si>
    <t>CHRO DCM Shriram</t>
  </si>
  <si>
    <r>
      <rPr>
        <rFont val="Arial"/>
        <u/>
      </rPr>
      <t>Avishek Roy</t>
    </r>
  </si>
  <si>
    <t>CHRO - Mphasis Limited</t>
  </si>
  <si>
    <t>Aditya Kohli</t>
  </si>
  <si>
    <t>Director(HR) at GAIL</t>
  </si>
  <si>
    <r>
      <rPr>
        <rFont val="Arial"/>
        <u/>
      </rPr>
      <t>Rohit Vishal Gupta</t>
    </r>
  </si>
  <si>
    <t>Director Human Resources @Perfetti Van Melle India</t>
  </si>
  <si>
    <t>Paresh Ranpara</t>
  </si>
  <si>
    <t>Chief Human Resources Officer at Orient Electric</t>
  </si>
  <si>
    <t>PREMLATA</t>
  </si>
  <si>
    <t>CHRO Haldiram</t>
  </si>
  <si>
    <t>Raj T.</t>
  </si>
  <si>
    <t>Charles Godwin</t>
  </si>
  <si>
    <t xml:space="preserve"> CHRO NTPC</t>
  </si>
  <si>
    <r>
      <rPr>
        <rFont val="Arial"/>
        <u/>
      </rPr>
      <t>Viekas K Khokha</t>
    </r>
  </si>
  <si>
    <t>CHRO ALON OS</t>
  </si>
  <si>
    <r>
      <rPr>
        <rFont val="Arial"/>
        <u/>
      </rPr>
      <t>Ritu Kumar</t>
    </r>
  </si>
  <si>
    <r>
      <rPr>
        <rFont val="Arial"/>
        <u/>
      </rPr>
      <t>Veena Bansal</t>
    </r>
  </si>
  <si>
    <t>CHRO @ SMIL</t>
  </si>
  <si>
    <r>
      <rPr>
        <rFont val="Arial"/>
        <u/>
      </rPr>
      <t>Suvarna Mishra</t>
    </r>
  </si>
  <si>
    <t>COWI</t>
  </si>
  <si>
    <r>
      <rPr>
        <rFont val="Arial"/>
        <u/>
      </rPr>
      <t>Pooja Malik</t>
    </r>
  </si>
  <si>
    <t>Group HR Head</t>
  </si>
  <si>
    <r>
      <rPr>
        <rFont val="Arial"/>
        <u/>
      </rPr>
      <t>Vimmi Chachra</t>
    </r>
  </si>
  <si>
    <t>Director Human Resources @ PLUXEE India</t>
  </si>
  <si>
    <r>
      <rPr>
        <rFont val="Arial"/>
        <u/>
      </rPr>
      <t>Paras Kaushik</t>
    </r>
  </si>
  <si>
    <t>Group Head - HR at DMI</t>
  </si>
  <si>
    <r>
      <rPr>
        <rFont val="Arial"/>
        <u/>
      </rPr>
      <t>Swati Khandelwal (Logani)</t>
    </r>
  </si>
  <si>
    <t>CHRO - Sopra Steria India</t>
  </si>
  <si>
    <r>
      <rPr>
        <rFont val="Arial"/>
        <u/>
      </rPr>
      <t>Debasis Sarkar</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</si>
  <si>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u/>
      </rPr>
      <t>Chief Human Resources Officer</t>
    </r>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u/>
      </rPr>
      <t>Chief Human Resources Officer</t>
    </r>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u/>
      </rPr>
      <t>HT Media Group</t>
    </r>
  </si>
  <si>
    <r>
      <rPr>
        <rFont val="Arial"/>
        <u/>
      </rPr>
      <t>Vidya Munirathnam</t>
    </r>
  </si>
  <si>
    <t>Head Human Resources at R1 RCM India</t>
  </si>
  <si>
    <r>
      <rPr>
        <rFont val="Arial"/>
        <u/>
      </rPr>
      <t>Abhijit S Rao</t>
    </r>
  </si>
  <si>
    <t>HR Head at HCLTech</t>
  </si>
  <si>
    <r>
      <rPr>
        <rFont val="Arial"/>
        <u/>
      </rPr>
      <t>Akanksha Choudhary</t>
    </r>
  </si>
  <si>
    <t>VP, Human Resources at Lowe's India</t>
  </si>
  <si>
    <r>
      <rPr>
        <rFont val="Arial"/>
        <u/>
      </rPr>
      <t>Seepika Singhal</t>
    </r>
  </si>
  <si>
    <t>Global Head of People at Actyv.ai</t>
  </si>
  <si>
    <r>
      <rPr>
        <rFont val="Arial"/>
        <u/>
      </rPr>
      <t>Rohit Chaudhri</t>
    </r>
  </si>
  <si>
    <t>Director Human Resources and Head of HR India at Insight</t>
  </si>
  <si>
    <r>
      <rPr>
        <rFont val="Arial"/>
        <u/>
      </rPr>
      <t>Devika Tandon</t>
    </r>
  </si>
  <si>
    <t>Senior Director HR</t>
  </si>
  <si>
    <t>Madhuri Mehta</t>
  </si>
  <si>
    <t>Head of Human Resources Business Partnering</t>
  </si>
  <si>
    <r>
      <rPr>
        <rFont val="Arial"/>
        <u/>
      </rPr>
      <t>Ashish Kumar Singh</t>
    </r>
  </si>
  <si>
    <t>Director HR Hilti India</t>
  </si>
  <si>
    <r>
      <rPr>
        <rFont val="Arial"/>
        <u/>
      </rPr>
      <t>Shraddhanjali Rao</t>
    </r>
  </si>
  <si>
    <t>Chief Human Resources Officer at Emaar India</t>
  </si>
  <si>
    <r>
      <rPr>
        <rFont val="Arial"/>
        <u/>
      </rPr>
      <t>Anjali Raghuvanshi</t>
    </r>
  </si>
  <si>
    <t>Chief HR Officer at Meesho</t>
  </si>
  <si>
    <r>
      <rPr>
        <rFont val="Arial"/>
        <u/>
      </rPr>
      <t>Neetika Bhatia</t>
    </r>
  </si>
  <si>
    <t>Google</t>
  </si>
  <si>
    <r>
      <rPr>
        <rFont val="Arial"/>
        <u/>
      </rPr>
      <t>Arppna Mehra</t>
    </r>
  </si>
  <si>
    <t>Chief People Officer&amp; Business Innovation</t>
  </si>
  <si>
    <r>
      <rPr>
        <rFont val="Arial"/>
        <u/>
      </rPr>
      <t>Viji Swaminathan</t>
    </r>
  </si>
  <si>
    <t>Chief Human Resources Officer, HDFC securities</t>
  </si>
  <si>
    <r>
      <rPr>
        <rFont val="Arial"/>
        <u/>
      </rPr>
      <t>Riti Singh</t>
    </r>
  </si>
  <si>
    <t>Vice President Human Resources at Honeywell</t>
  </si>
  <si>
    <t>Nalini George</t>
  </si>
  <si>
    <t>Chief People Officer at Pine Labs</t>
  </si>
  <si>
    <r>
      <rPr>
        <rFont val="Arial"/>
        <u/>
      </rPr>
      <t>Pradeep R</t>
    </r>
  </si>
  <si>
    <t>Human Resources Leader at Softtek</t>
  </si>
  <si>
    <r>
      <rPr>
        <rFont val="Arial"/>
        <u/>
      </rPr>
      <t>Shweta Mohanty</t>
    </r>
  </si>
  <si>
    <t>Chief Human Resource Officer / BIAL</t>
  </si>
  <si>
    <r>
      <rPr>
        <rFont val="Arial"/>
        <u/>
      </rPr>
      <t>Aadit Palicha</t>
    </r>
  </si>
  <si>
    <r>
      <rPr>
        <rFont val="Arial"/>
        <u/>
      </rPr>
      <t>Malliga Rajkumar</t>
    </r>
  </si>
  <si>
    <t>Head of People &amp; Culture : India at SAP</t>
  </si>
  <si>
    <r>
      <rPr>
        <rFont val="Arial"/>
        <u/>
      </rPr>
      <t>Husnaa B</t>
    </r>
  </si>
  <si>
    <t>Co-Founder/CEO @ Zepto</t>
  </si>
  <si>
    <t>CHRO ITC</t>
  </si>
  <si>
    <t>Saurabh Govil</t>
  </si>
  <si>
    <t>President and Chief Human Resources Office</t>
  </si>
  <si>
    <r>
      <rPr>
        <rFont val="Arial"/>
        <u/>
      </rPr>
      <t>Vivek Ranjan</t>
    </r>
  </si>
  <si>
    <t>Group CHRO at Suzlon Group</t>
  </si>
  <si>
    <r>
      <rPr>
        <rFont val="Arial"/>
        <u/>
      </rPr>
      <t>Indu Kapoor</t>
    </r>
  </si>
  <si>
    <t>CHRO Vodafone-Idea</t>
  </si>
  <si>
    <r>
      <rPr>
        <rFont val="Arial"/>
        <u/>
      </rPr>
      <t>Savitha Shivsankar</t>
    </r>
  </si>
  <si>
    <t>Chief Human Resources Officer at Zensar Technologies</t>
  </si>
  <si>
    <r>
      <rPr>
        <rFont val="Arial"/>
        <u/>
      </rPr>
      <t>Madhavi Lall</t>
    </r>
  </si>
  <si>
    <t>Head of Human Resources - Infosys</t>
  </si>
  <si>
    <r>
      <rPr>
        <rFont val="Arial"/>
        <color theme="1"/>
        <u/>
      </rPr>
      <t>Girish Menon</t>
    </r>
  </si>
  <si>
    <t>Head - HR, India at Deutsche Bank</t>
  </si>
  <si>
    <t>Gaurav Chopra</t>
  </si>
  <si>
    <t>VP HR Operations and Transformation</t>
  </si>
  <si>
    <t>Ather Energy</t>
  </si>
  <si>
    <t>Amadeus</t>
  </si>
  <si>
    <t>Sabre</t>
  </si>
  <si>
    <t>Walmart Global Tech</t>
  </si>
  <si>
    <t>Nike</t>
  </si>
  <si>
    <t>Bosch Global Software Technologies</t>
  </si>
  <si>
    <t>Continental</t>
  </si>
  <si>
    <t>Mercedes-Benz R&amp;D India</t>
  </si>
  <si>
    <t>Toyota Kirloskar</t>
  </si>
  <si>
    <t>Airbus India</t>
  </si>
  <si>
    <t>Boeing India</t>
  </si>
  <si>
    <t>Honeywell</t>
  </si>
  <si>
    <t>GE HealthCare</t>
  </si>
  <si>
    <t>Philips</t>
  </si>
  <si>
    <t>Hitachi Energy India</t>
  </si>
  <si>
    <t>Rockwell Automation</t>
  </si>
  <si>
    <t>Emerson</t>
  </si>
  <si>
    <t>Eli Lilly</t>
  </si>
  <si>
    <t>Novartis</t>
  </si>
  <si>
    <t>Roche</t>
  </si>
  <si>
    <t>IBM</t>
  </si>
  <si>
    <t>Intel</t>
  </si>
  <si>
    <t>AMD</t>
  </si>
  <si>
    <t>Microsoft</t>
  </si>
  <si>
    <t>Salesforce</t>
  </si>
  <si>
    <t>Nutanix</t>
  </si>
</sst>
</file>

<file path=xl/styles.xml><?xml version="1.0" encoding="utf-8"?>
<styleSheet xmlns="http://schemas.openxmlformats.org/spreadsheetml/2006/main" xmlns:x14ac="http://schemas.microsoft.com/office/spreadsheetml/2009/9/ac" xmlns:mc="http://schemas.openxmlformats.org/markup-compatibility/2006">
  <fonts count="37">
    <font>
      <sz val="10.0"/>
      <color rgb="FF000000"/>
      <name val="Arial"/>
      <scheme val="minor"/>
    </font>
    <font>
      <color theme="1"/>
      <name val="Arial"/>
    </font>
    <font>
      <b/>
      <color theme="1"/>
      <name val="Arial"/>
    </font>
    <font>
      <u/>
      <color rgb="FF1155CC"/>
      <name val="Arial"/>
    </font>
    <font>
      <u/>
      <color rgb="FF1155CC"/>
      <name val="Arial"/>
    </font>
    <font>
      <u/>
      <color rgb="FF1155CC"/>
      <name val="Arial"/>
    </font>
    <font>
      <sz val="11.0"/>
      <color rgb="FF19191A"/>
      <name val="Arial"/>
    </font>
    <font>
      <u/>
      <color rgb="FF1155CC"/>
      <name val="Arial"/>
    </font>
    <font>
      <color rgb="FF19191A"/>
      <name val="Arial"/>
    </font>
    <font>
      <u/>
      <color theme="1"/>
      <name val="Arial"/>
    </font>
    <font>
      <u/>
      <color theme="1"/>
      <name val="Arial"/>
    </font>
    <font>
      <u/>
      <color rgb="FF1155CC"/>
      <name val="Arial"/>
    </font>
    <font>
      <color rgb="FF444746"/>
      <name val="Arial"/>
    </font>
    <font>
      <u/>
      <color rgb="FF1155CC"/>
      <name val="Arial"/>
    </font>
    <font>
      <color rgb="FFFF0000"/>
      <name val="Arial"/>
    </font>
    <font>
      <u/>
      <color rgb="FF1155CC"/>
      <name val="Arial"/>
    </font>
    <font>
      <u/>
      <color rgb="FF1155CC"/>
      <name val="Arial"/>
    </font>
    <font>
      <u/>
      <color rgb="FF1155CC"/>
      <name val="Arial"/>
    </font>
    <font>
      <u/>
      <color rgb="FF1155CC"/>
      <name val="Arial"/>
    </font>
    <font>
      <color rgb="FF0D0D0D"/>
      <name val="Arial"/>
    </font>
    <font>
      <u/>
      <color rgb="FF1155CC"/>
      <name val="Arial"/>
    </font>
    <font>
      <u/>
      <color rgb="FF1155CC"/>
      <name val="Arial"/>
    </font>
    <font>
      <color rgb="FF18181B"/>
      <name val="Arial"/>
    </font>
    <font>
      <u/>
      <color rgb="FF1155CC"/>
      <name val="Arial"/>
    </font>
    <font>
      <u/>
      <color rgb="FF0000FF"/>
      <name val="Arial"/>
    </font>
    <font>
      <u/>
      <color theme="1"/>
      <name val="Arial"/>
    </font>
    <font>
      <u/>
      <color rgb="FF1155CC"/>
      <name val="Arial"/>
    </font>
    <font>
      <u/>
      <color rgb="FF1155CC"/>
      <name val="Arial"/>
    </font>
    <font>
      <sz val="12.0"/>
      <color theme="1"/>
      <name val="Inter"/>
    </font>
    <font>
      <u/>
      <color rgb="FF1155CC"/>
      <name val="Arial"/>
    </font>
    <font>
      <u/>
      <color rgb="FF0000FF"/>
      <name val="Arial"/>
    </font>
    <font>
      <color theme="1"/>
      <name val="Inter var"/>
    </font>
    <font>
      <color theme="1"/>
      <name val="-apple-system"/>
    </font>
    <font>
      <color theme="1"/>
      <name val="Montserrat"/>
    </font>
    <font>
      <color theme="1"/>
      <name val="Libre Franklin"/>
    </font>
    <font>
      <color theme="1"/>
      <name val="Open Sans Hebrew Condensed"/>
    </font>
    <font>
      <u/>
      <color rgb="FF0000FF"/>
      <name val="-apple-system"/>
    </font>
  </fonts>
  <fills count="1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
      <patternFill patternType="solid">
        <fgColor rgb="FFF4CCCC"/>
        <bgColor rgb="FFF4CCCC"/>
      </patternFill>
    </fill>
    <fill>
      <patternFill patternType="solid">
        <fgColor rgb="FFFF9900"/>
        <bgColor rgb="FFFF9900"/>
      </patternFill>
    </fill>
    <fill>
      <patternFill patternType="solid">
        <fgColor rgb="FF4A86E8"/>
        <bgColor rgb="FF4A86E8"/>
      </patternFill>
    </fill>
    <fill>
      <patternFill patternType="solid">
        <fgColor rgb="FF000000"/>
        <bgColor rgb="FF000000"/>
      </patternFill>
    </fill>
    <fill>
      <patternFill patternType="solid">
        <fgColor rgb="FFFAFCFF"/>
        <bgColor rgb="FFFAFCFF"/>
      </patternFill>
    </fill>
    <fill>
      <patternFill patternType="solid">
        <fgColor rgb="FFFCE5CD"/>
        <bgColor rgb="FFFCE5CD"/>
      </patternFill>
    </fill>
    <fill>
      <patternFill patternType="solid">
        <fgColor rgb="FF980000"/>
        <bgColor rgb="FF980000"/>
      </patternFill>
    </fill>
    <fill>
      <patternFill patternType="solid">
        <fgColor rgb="FF00FF00"/>
        <bgColor rgb="FF00FF00"/>
      </patternFill>
    </fill>
    <fill>
      <patternFill patternType="solid">
        <fgColor rgb="FFEA9999"/>
        <bgColor rgb="FFEA9999"/>
      </patternFill>
    </fill>
    <fill>
      <patternFill patternType="solid">
        <fgColor rgb="FF00FFFF"/>
        <bgColor rgb="FF00FFFF"/>
      </patternFill>
    </fill>
  </fills>
  <borders count="4">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1"/>
    </xf>
    <xf borderId="0" fillId="2" fontId="2" numFmtId="0" xfId="0" applyAlignment="1" applyFill="1" applyFont="1">
      <alignment shrinkToFit="0" vertical="bottom" wrapText="1"/>
    </xf>
    <xf borderId="2" fillId="2" fontId="2" numFmtId="0" xfId="0" applyAlignment="1" applyBorder="1" applyFill="1" applyFont="1">
      <alignment shrinkToFit="0" vertical="bottom" wrapText="1"/>
    </xf>
    <xf borderId="3" fillId="2" fontId="2" numFmtId="0" xfId="0" applyAlignment="1" applyBorder="1" applyFill="1" applyFont="1">
      <alignment vertical="bottom"/>
    </xf>
    <xf borderId="3" fillId="2" fontId="2" numFmtId="0" xfId="0" applyAlignment="1" applyBorder="1" applyFill="1" applyFont="1">
      <alignment shrinkToFit="0" vertical="bottom" wrapText="1"/>
    </xf>
    <xf borderId="3" fillId="2" fontId="1" numFmtId="0" xfId="0" applyAlignment="1" applyBorder="1" applyFill="1" applyFont="1">
      <alignment vertical="bottom"/>
    </xf>
    <xf borderId="0" fillId="0" fontId="1" numFmtId="0" xfId="0" applyAlignment="1" applyFont="1">
      <alignment vertical="bottom"/>
    </xf>
    <xf borderId="3" fillId="3" fontId="2" numFmtId="0" xfId="0" applyAlignment="1" applyBorder="1" applyFill="1" applyFont="1">
      <alignment vertical="bottom"/>
    </xf>
    <xf borderId="0" fillId="3" fontId="1" numFmtId="0" xfId="0" applyAlignment="1" applyFill="1" applyFont="1">
      <alignment shrinkToFit="0" vertical="bottom" wrapText="1"/>
    </xf>
    <xf borderId="3" fillId="4" fontId="1" numFmtId="0" xfId="0" applyAlignment="1" applyBorder="1" applyFill="1" applyFont="1">
      <alignment vertical="bottom"/>
    </xf>
    <xf borderId="3" fillId="4" fontId="1" numFmtId="0" xfId="0" applyAlignment="1" applyBorder="1" applyFill="1" applyFont="1">
      <alignment horizontal="right" vertical="bottom"/>
    </xf>
    <xf borderId="0" fillId="0" fontId="1" numFmtId="0" xfId="0" applyAlignment="1" applyFont="1">
      <alignment horizontal="right" shrinkToFit="0" vertical="bottom" wrapText="1"/>
    </xf>
    <xf borderId="0" fillId="0" fontId="1" numFmtId="0" xfId="0" applyAlignment="1" applyFont="1">
      <alignment shrinkToFit="0" vertical="bottom" wrapText="1"/>
    </xf>
    <xf borderId="3" fillId="4" fontId="3" numFmtId="0" xfId="0" applyAlignment="1" applyBorder="1" applyFill="1" applyFont="1">
      <alignment vertical="bottom"/>
    </xf>
    <xf borderId="0" fillId="4" fontId="1" numFmtId="0" xfId="0" applyAlignment="1" applyFill="1" applyFont="1">
      <alignment vertical="bottom"/>
    </xf>
    <xf borderId="0" fillId="0" fontId="4" numFmtId="0" xfId="0" applyAlignment="1" applyFont="1">
      <alignment shrinkToFit="0" vertical="bottom" wrapText="1"/>
    </xf>
    <xf borderId="0" fillId="3" fontId="1" numFmtId="0" xfId="0" applyAlignment="1" applyFill="1" applyFont="1">
      <alignment vertical="bottom"/>
    </xf>
    <xf borderId="3" fillId="3" fontId="1" numFmtId="0" xfId="0" applyAlignment="1" applyBorder="1" applyFill="1" applyFont="1">
      <alignment vertical="bottom"/>
    </xf>
    <xf borderId="3" fillId="3" fontId="1" numFmtId="0" xfId="0" applyAlignment="1" applyBorder="1" applyFill="1" applyFont="1">
      <alignment horizontal="right" vertical="bottom"/>
    </xf>
    <xf borderId="3" fillId="3" fontId="5" numFmtId="0" xfId="0" applyAlignment="1" applyBorder="1" applyFill="1" applyFont="1">
      <alignment vertical="bottom"/>
    </xf>
    <xf borderId="3" fillId="3" fontId="6" numFmtId="0" xfId="0" applyAlignment="1" applyBorder="1" applyFill="1" applyFont="1">
      <alignment vertical="bottom"/>
    </xf>
    <xf borderId="0" fillId="4" fontId="1" numFmtId="0" xfId="0" applyAlignment="1" applyFill="1" applyFont="1">
      <alignment shrinkToFit="0" vertical="bottom" wrapText="1"/>
    </xf>
    <xf borderId="0" fillId="4" fontId="1" numFmtId="0" xfId="0" applyAlignment="1" applyFill="1" applyFont="1">
      <alignment horizontal="right" shrinkToFit="0" vertical="bottom" wrapText="1"/>
    </xf>
    <xf borderId="0" fillId="4" fontId="7" numFmtId="0" xfId="0" applyAlignment="1" applyFill="1" applyFont="1">
      <alignment shrinkToFit="0" vertical="bottom" wrapText="1"/>
    </xf>
    <xf borderId="3" fillId="3" fontId="8" numFmtId="0" xfId="0" applyAlignment="1" applyBorder="1" applyFill="1" applyFont="1">
      <alignment vertical="bottom"/>
    </xf>
    <xf borderId="0" fillId="3" fontId="9" numFmtId="0" xfId="0" applyAlignment="1" applyFill="1" applyFont="1">
      <alignment vertical="bottom"/>
    </xf>
    <xf borderId="0" fillId="4" fontId="10" numFmtId="0" xfId="0" applyAlignment="1" applyFill="1" applyFont="1">
      <alignment vertical="bottom"/>
    </xf>
    <xf borderId="0" fillId="2" fontId="1" numFmtId="0" xfId="0" applyAlignment="1" applyFill="1" applyFont="1">
      <alignment shrinkToFit="0" vertical="bottom" wrapText="1"/>
    </xf>
    <xf borderId="0" fillId="2" fontId="1" numFmtId="0" xfId="0" applyAlignment="1" applyFill="1" applyFont="1">
      <alignment horizontal="right" shrinkToFit="0" vertical="bottom" wrapText="1"/>
    </xf>
    <xf borderId="0" fillId="2" fontId="1" numFmtId="0" xfId="0" applyAlignment="1" applyFill="1" applyFont="1">
      <alignment vertical="bottom"/>
    </xf>
    <xf borderId="0" fillId="2" fontId="11" numFmtId="0" xfId="0" applyAlignment="1" applyFill="1" applyFont="1">
      <alignment shrinkToFit="0" vertical="bottom" wrapText="1"/>
    </xf>
    <xf borderId="3" fillId="3" fontId="12" numFmtId="0" xfId="0" applyAlignment="1" applyBorder="1" applyFill="1" applyFont="1">
      <alignment shrinkToFit="0" vertical="bottom" wrapText="0"/>
    </xf>
    <xf borderId="0" fillId="0" fontId="13" numFmtId="0" xfId="0" applyAlignment="1" applyFont="1">
      <alignment vertical="bottom"/>
    </xf>
    <xf borderId="3" fillId="3" fontId="14" numFmtId="0" xfId="0" applyAlignment="1" applyBorder="1" applyFill="1" applyFont="1">
      <alignment horizontal="right" vertical="bottom"/>
    </xf>
    <xf borderId="0" fillId="4" fontId="15" numFmtId="0" xfId="0" applyAlignment="1" applyFill="1" applyFont="1">
      <alignment vertical="bottom"/>
    </xf>
    <xf borderId="0" fillId="2" fontId="16" numFmtId="0" xfId="0" applyAlignment="1" applyFill="1" applyFont="1">
      <alignment vertical="bottom"/>
    </xf>
    <xf borderId="0" fillId="5" fontId="1" numFmtId="0" xfId="0" applyAlignment="1" applyFill="1" applyFont="1">
      <alignment vertical="bottom"/>
    </xf>
    <xf borderId="0" fillId="5" fontId="1" numFmtId="0" xfId="0" applyAlignment="1" applyFill="1" applyFont="1">
      <alignment shrinkToFit="0" vertical="bottom" wrapText="1"/>
    </xf>
    <xf borderId="0" fillId="5" fontId="1" numFmtId="0" xfId="0" applyAlignment="1" applyFill="1" applyFont="1">
      <alignment horizontal="right" shrinkToFit="0" vertical="bottom" wrapText="1"/>
    </xf>
    <xf borderId="0" fillId="5" fontId="17" numFmtId="0" xfId="0" applyAlignment="1" applyFill="1" applyFont="1">
      <alignment vertical="bottom"/>
    </xf>
    <xf borderId="3" fillId="5" fontId="1" numFmtId="0" xfId="0" applyAlignment="1" applyBorder="1" applyFill="1" applyFont="1">
      <alignment vertical="bottom"/>
    </xf>
    <xf borderId="0" fillId="6" fontId="1" numFmtId="0" xfId="0" applyAlignment="1" applyFill="1" applyFont="1">
      <alignment vertical="bottom"/>
    </xf>
    <xf borderId="0" fillId="6" fontId="1" numFmtId="0" xfId="0" applyAlignment="1" applyFill="1" applyFont="1">
      <alignment shrinkToFit="0" vertical="bottom" wrapText="1"/>
    </xf>
    <xf borderId="0" fillId="6" fontId="1" numFmtId="0" xfId="0" applyAlignment="1" applyFill="1" applyFont="1">
      <alignment horizontal="right" shrinkToFit="0" vertical="bottom" wrapText="1"/>
    </xf>
    <xf borderId="0" fillId="6" fontId="18" numFmtId="0" xfId="0" applyAlignment="1" applyFill="1" applyFont="1">
      <alignment vertical="bottom"/>
    </xf>
    <xf borderId="0" fillId="7" fontId="1" numFmtId="0" xfId="0" applyAlignment="1" applyFill="1" applyFont="1">
      <alignment vertical="bottom"/>
    </xf>
    <xf borderId="3" fillId="3" fontId="19" numFmtId="0" xfId="0" applyAlignment="1" applyBorder="1" applyFill="1" applyFont="1">
      <alignment vertical="bottom"/>
    </xf>
    <xf borderId="0" fillId="3" fontId="1" numFmtId="0" xfId="0" applyAlignment="1" applyFill="1" applyFont="1">
      <alignment horizontal="right" shrinkToFit="0" vertical="bottom" wrapText="1"/>
    </xf>
    <xf borderId="0" fillId="3" fontId="20" numFmtId="0" xfId="0" applyAlignment="1" applyFill="1" applyFont="1">
      <alignment vertical="bottom"/>
    </xf>
    <xf borderId="0" fillId="7" fontId="1" numFmtId="0" xfId="0" applyAlignment="1" applyFill="1" applyFont="1">
      <alignment shrinkToFit="0" vertical="bottom" wrapText="1"/>
    </xf>
    <xf borderId="0" fillId="8" fontId="1" numFmtId="0" xfId="0" applyAlignment="1" applyFill="1" applyFont="1">
      <alignment vertical="bottom"/>
    </xf>
    <xf borderId="0" fillId="8" fontId="1" numFmtId="0" xfId="0" applyAlignment="1" applyFill="1" applyFont="1">
      <alignment shrinkToFit="0" vertical="bottom" wrapText="1"/>
    </xf>
    <xf borderId="0" fillId="8" fontId="21" numFmtId="0" xfId="0" applyAlignment="1" applyFill="1" applyFont="1">
      <alignment vertical="bottom"/>
    </xf>
    <xf borderId="0" fillId="4" fontId="1" numFmtId="0" xfId="0" applyAlignment="1" applyFill="1" applyFont="1">
      <alignment horizontal="right" vertical="bottom"/>
    </xf>
    <xf borderId="0" fillId="0" fontId="1" numFmtId="0" xfId="0" applyAlignment="1" applyFont="1">
      <alignment horizontal="right" vertical="bottom"/>
    </xf>
    <xf borderId="0" fillId="0" fontId="1" numFmtId="0" xfId="0" applyAlignment="1" applyFont="1">
      <alignment vertical="top"/>
    </xf>
    <xf borderId="0" fillId="4" fontId="22" numFmtId="0" xfId="0" applyAlignment="1" applyFill="1" applyFont="1">
      <alignment horizontal="right" vertical="bottom"/>
    </xf>
    <xf borderId="0" fillId="9" fontId="1" numFmtId="0" xfId="0" applyAlignment="1" applyFill="1" applyFont="1">
      <alignment horizontal="right" vertical="bottom"/>
    </xf>
    <xf borderId="0" fillId="10" fontId="1" numFmtId="0" xfId="0" applyAlignment="1" applyFill="1" applyFont="1">
      <alignment vertical="bottom"/>
    </xf>
    <xf borderId="0" fillId="10" fontId="1" numFmtId="0" xfId="0" applyAlignment="1" applyFill="1" applyFont="1">
      <alignment shrinkToFit="0" vertical="bottom" wrapText="1"/>
    </xf>
    <xf borderId="0" fillId="10" fontId="23" numFmtId="0" xfId="0" applyAlignment="1" applyFill="1" applyFont="1">
      <alignment vertical="bottom"/>
    </xf>
    <xf borderId="0" fillId="10" fontId="1" numFmtId="0" xfId="0" applyAlignment="1" applyFill="1" applyFont="1">
      <alignment horizontal="right" shrinkToFit="0" vertical="bottom" wrapText="1"/>
    </xf>
    <xf borderId="3" fillId="11" fontId="1" numFmtId="0" xfId="0" applyAlignment="1" applyBorder="1" applyFill="1" applyFont="1">
      <alignment horizontal="right" vertical="bottom"/>
    </xf>
    <xf borderId="0" fillId="0" fontId="24" numFmtId="0" xfId="0" applyAlignment="1" applyFont="1">
      <alignment vertical="bottom"/>
    </xf>
    <xf borderId="3" fillId="3" fontId="25" numFmtId="0" xfId="0" applyAlignment="1" applyBorder="1" applyFill="1" applyFont="1">
      <alignment vertical="bottom"/>
    </xf>
    <xf borderId="3" fillId="12" fontId="1" numFmtId="0" xfId="0" applyAlignment="1" applyBorder="1" applyFill="1" applyFont="1">
      <alignment vertical="bottom"/>
    </xf>
    <xf borderId="0" fillId="3" fontId="26" numFmtId="0" xfId="0" applyAlignment="1" applyFill="1" applyFont="1">
      <alignment shrinkToFit="0" vertical="bottom" wrapText="1"/>
    </xf>
    <xf borderId="0" fillId="13" fontId="1" numFmtId="0" xfId="0" applyAlignment="1" applyFill="1" applyFont="1">
      <alignment vertical="bottom"/>
    </xf>
    <xf borderId="0" fillId="13" fontId="1" numFmtId="0" xfId="0" applyAlignment="1" applyFill="1" applyFont="1">
      <alignment horizontal="right" vertical="bottom"/>
    </xf>
    <xf borderId="0" fillId="13" fontId="27" numFmtId="0" xfId="0" applyAlignment="1" applyFill="1" applyFont="1">
      <alignment vertical="bottom"/>
    </xf>
    <xf borderId="0" fillId="9" fontId="28" numFmtId="0" xfId="0" applyAlignment="1" applyFill="1" applyFont="1">
      <alignment horizontal="right" vertical="bottom"/>
    </xf>
    <xf borderId="0" fillId="3" fontId="1" numFmtId="0" xfId="0" applyAlignment="1" applyFill="1" applyFont="1">
      <alignment horizontal="right" vertical="bottom"/>
    </xf>
    <xf borderId="0" fillId="12" fontId="1" numFmtId="0" xfId="0" applyAlignment="1" applyFill="1" applyFont="1">
      <alignment vertical="bottom"/>
    </xf>
    <xf borderId="0" fillId="12" fontId="29" numFmtId="0" xfId="0" applyAlignment="1" applyFill="1" applyFont="1">
      <alignment vertical="bottom"/>
    </xf>
    <xf borderId="3" fillId="11" fontId="1" numFmtId="0" xfId="0" applyAlignment="1" applyBorder="1" applyFill="1" applyFont="1">
      <alignment vertical="bottom"/>
    </xf>
    <xf borderId="3" fillId="12" fontId="1" numFmtId="0" xfId="0" applyAlignment="1" applyBorder="1" applyFill="1" applyFont="1">
      <alignment horizontal="right" vertical="bottom"/>
    </xf>
    <xf borderId="0" fillId="3" fontId="30" numFmtId="0" xfId="0" applyAlignment="1" applyFill="1" applyFont="1">
      <alignment vertical="bottom"/>
    </xf>
    <xf borderId="0" fillId="3" fontId="31" numFmtId="0" xfId="0" applyAlignment="1" applyFill="1" applyFont="1">
      <alignment shrinkToFit="0" vertical="bottom" wrapText="1"/>
    </xf>
    <xf borderId="3" fillId="2" fontId="1" numFmtId="0" xfId="0" applyAlignment="1" applyBorder="1" applyFill="1" applyFont="1">
      <alignment horizontal="right" vertical="bottom"/>
    </xf>
    <xf borderId="3" fillId="14" fontId="1" numFmtId="0" xfId="0" applyAlignment="1" applyBorder="1" applyFill="1" applyFont="1">
      <alignment vertical="bottom"/>
    </xf>
    <xf borderId="0" fillId="3" fontId="32" numFmtId="0" xfId="0" applyAlignment="1" applyFill="1" applyFont="1">
      <alignment shrinkToFit="0" vertical="bottom" wrapText="1"/>
    </xf>
    <xf borderId="0" fillId="3" fontId="33" numFmtId="0" xfId="0" applyAlignment="1" applyFill="1" applyFont="1">
      <alignment horizontal="center" shrinkToFit="0" vertical="bottom" wrapText="1"/>
    </xf>
    <xf borderId="0" fillId="3" fontId="34" numFmtId="0" xfId="0" applyAlignment="1" applyFill="1" applyFont="1">
      <alignment horizontal="center" shrinkToFit="0" vertical="bottom" wrapText="1"/>
    </xf>
    <xf borderId="0" fillId="3" fontId="35" numFmtId="0" xfId="0" applyAlignment="1" applyFill="1" applyFont="1">
      <alignment shrinkToFit="0" vertical="bottom" wrapText="1"/>
    </xf>
    <xf borderId="0" fillId="3" fontId="36" numFmtId="0" xfId="0" applyAlignment="1" applyFill="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in/snehalpawar1/" TargetMode="External"/><Relationship Id="rId190" Type="http://schemas.openxmlformats.org/officeDocument/2006/relationships/hyperlink" Target="https://www.linkedin.com/in/mohanj1/" TargetMode="External"/><Relationship Id="rId42" Type="http://schemas.openxmlformats.org/officeDocument/2006/relationships/hyperlink" Target="https://www.linkedin.com/in/abhinavjee/" TargetMode="External"/><Relationship Id="rId41" Type="http://schemas.openxmlformats.org/officeDocument/2006/relationships/hyperlink" Target="https://www.linkedin.com/in/thangarajvinayaga/" TargetMode="External"/><Relationship Id="rId44" Type="http://schemas.openxmlformats.org/officeDocument/2006/relationships/hyperlink" Target="https://www.linkedin.com/in/chirandeepshetty/" TargetMode="External"/><Relationship Id="rId194" Type="http://schemas.openxmlformats.org/officeDocument/2006/relationships/hyperlink" Target="https://www.linkedin.com/in/senthilkuppusamy/" TargetMode="External"/><Relationship Id="rId43" Type="http://schemas.openxmlformats.org/officeDocument/2006/relationships/hyperlink" Target="https://www.linkedin.com/in/tarunareddy/" TargetMode="External"/><Relationship Id="rId193" Type="http://schemas.openxmlformats.org/officeDocument/2006/relationships/hyperlink" Target="https://www.linkedin.com/in/praveencsn/" TargetMode="External"/><Relationship Id="rId46" Type="http://schemas.openxmlformats.org/officeDocument/2006/relationships/hyperlink" Target="https://www.linkedin.com/in/sumitpremi/" TargetMode="External"/><Relationship Id="rId192" Type="http://schemas.openxmlformats.org/officeDocument/2006/relationships/hyperlink" Target="https://www.linkedin.com/in/jagan-mohan-c-84b5a67/" TargetMode="External"/><Relationship Id="rId45" Type="http://schemas.openxmlformats.org/officeDocument/2006/relationships/hyperlink" Target="https://www.linkedin.com/in/sarmita-mukherjee-8848a823/" TargetMode="External"/><Relationship Id="rId191" Type="http://schemas.openxmlformats.org/officeDocument/2006/relationships/hyperlink" Target="https://www.linkedin.com/in/shayuthakb/" TargetMode="External"/><Relationship Id="rId48" Type="http://schemas.openxmlformats.org/officeDocument/2006/relationships/hyperlink" Target="https://www.linkedin.com/in/amit-chandra-31aab6a2/" TargetMode="External"/><Relationship Id="rId187" Type="http://schemas.openxmlformats.org/officeDocument/2006/relationships/hyperlink" Target="https://www.linkedin.com/in/ajaybit2001/" TargetMode="External"/><Relationship Id="rId47" Type="http://schemas.openxmlformats.org/officeDocument/2006/relationships/hyperlink" Target="https://www.linkedin.com/in/venkateshvemulamada/" TargetMode="External"/><Relationship Id="rId186" Type="http://schemas.openxmlformats.org/officeDocument/2006/relationships/hyperlink" Target="https://www.linkedin.com/in/ashish-saigal/" TargetMode="External"/><Relationship Id="rId185" Type="http://schemas.openxmlformats.org/officeDocument/2006/relationships/hyperlink" Target="https://www.linkedin.com/in/vijay-linus-989575/" TargetMode="External"/><Relationship Id="rId49" Type="http://schemas.openxmlformats.org/officeDocument/2006/relationships/hyperlink" Target="https://www.linkedin.com/in/srikartiksayana/" TargetMode="External"/><Relationship Id="rId184" Type="http://schemas.openxmlformats.org/officeDocument/2006/relationships/hyperlink" Target="https://www.linkedin.com/in/ghoshsubhajit/" TargetMode="External"/><Relationship Id="rId189" Type="http://schemas.openxmlformats.org/officeDocument/2006/relationships/hyperlink" Target="https://www.linkedin.com/in/harsha-prabhakar-singh-08b7ba15" TargetMode="External"/><Relationship Id="rId188" Type="http://schemas.openxmlformats.org/officeDocument/2006/relationships/hyperlink" Target="https://www.linkedin.com/in/reena-dhir-arora-861a1646/" TargetMode="External"/><Relationship Id="rId31" Type="http://schemas.openxmlformats.org/officeDocument/2006/relationships/hyperlink" Target="https://www.linkedin.com/in/ravikannan/" TargetMode="External"/><Relationship Id="rId30" Type="http://schemas.openxmlformats.org/officeDocument/2006/relationships/hyperlink" Target="https://www.linkedin.com/in/arsriva4/" TargetMode="External"/><Relationship Id="rId33" Type="http://schemas.openxmlformats.org/officeDocument/2006/relationships/hyperlink" Target="https://www.linkedin.com/in/kallolta/" TargetMode="External"/><Relationship Id="rId183" Type="http://schemas.openxmlformats.org/officeDocument/2006/relationships/hyperlink" Target="https://www.linkedin.com/in/nikhiltanwade/" TargetMode="External"/><Relationship Id="rId32" Type="http://schemas.openxmlformats.org/officeDocument/2006/relationships/hyperlink" Target="https://www.linkedin.com/in/rajatadhikari23/" TargetMode="External"/><Relationship Id="rId182" Type="http://schemas.openxmlformats.org/officeDocument/2006/relationships/hyperlink" Target="https://www.linkedin.com/in/ishwarhegde/" TargetMode="External"/><Relationship Id="rId35" Type="http://schemas.openxmlformats.org/officeDocument/2006/relationships/hyperlink" Target="https://www.linkedin.com/in/gautam-shetty-3421a28/" TargetMode="External"/><Relationship Id="rId181" Type="http://schemas.openxmlformats.org/officeDocument/2006/relationships/hyperlink" Target="https://www.linkedin.com/in/karthikmr/" TargetMode="External"/><Relationship Id="rId34" Type="http://schemas.openxmlformats.org/officeDocument/2006/relationships/hyperlink" Target="https://www.linkedin.com/in/vipulvmehrotra/" TargetMode="External"/><Relationship Id="rId180" Type="http://schemas.openxmlformats.org/officeDocument/2006/relationships/hyperlink" Target="https://www.linkedin.com/in/rohank15/" TargetMode="External"/><Relationship Id="rId37" Type="http://schemas.openxmlformats.org/officeDocument/2006/relationships/hyperlink" Target="https://www.linkedin.com/in/arijitbhattacharjee/" TargetMode="External"/><Relationship Id="rId176" Type="http://schemas.openxmlformats.org/officeDocument/2006/relationships/hyperlink" Target="https://www.linkedin.com/in/stella-joshua-0366b85/" TargetMode="External"/><Relationship Id="rId36" Type="http://schemas.openxmlformats.org/officeDocument/2006/relationships/hyperlink" Target="https://www.linkedin.com/in/maheshkulkarni2009/" TargetMode="External"/><Relationship Id="rId175" Type="http://schemas.openxmlformats.org/officeDocument/2006/relationships/hyperlink" Target="https://www.linkedin.com/in/tarunareddy/?skipRedirect=true" TargetMode="External"/><Relationship Id="rId39" Type="http://schemas.openxmlformats.org/officeDocument/2006/relationships/hyperlink" Target="https://www.linkedin.com/in/sumitpremi/" TargetMode="External"/><Relationship Id="rId174" Type="http://schemas.openxmlformats.org/officeDocument/2006/relationships/hyperlink" Target="https://www.linkedin.com/in/neethesh-thomas/?skipRedirect=true" TargetMode="External"/><Relationship Id="rId38" Type="http://schemas.openxmlformats.org/officeDocument/2006/relationships/hyperlink" Target="https://www.linkedin.com/in/abhikulkarni0205/" TargetMode="External"/><Relationship Id="rId173" Type="http://schemas.openxmlformats.org/officeDocument/2006/relationships/hyperlink" Target="https://www.linkedin.com/in/kavitha-shivakumar/" TargetMode="External"/><Relationship Id="rId179" Type="http://schemas.openxmlformats.org/officeDocument/2006/relationships/hyperlink" Target="https://www.linkedin.com/in/syed-khan-4421aa7/" TargetMode="External"/><Relationship Id="rId178" Type="http://schemas.openxmlformats.org/officeDocument/2006/relationships/hyperlink" Target="https://www.linkedin.com/in/gloriadavis/" TargetMode="External"/><Relationship Id="rId177" Type="http://schemas.openxmlformats.org/officeDocument/2006/relationships/hyperlink" Target="https://www.linkedin.com/in/sowmya-mallaiah-b832214/" TargetMode="External"/><Relationship Id="rId20" Type="http://schemas.openxmlformats.org/officeDocument/2006/relationships/hyperlink" Target="https://www.linkedin.com/in/amaresh/" TargetMode="External"/><Relationship Id="rId22" Type="http://schemas.openxmlformats.org/officeDocument/2006/relationships/hyperlink" Target="https://www.linkedin.com/in/polik-mishra-95bb3236/" TargetMode="External"/><Relationship Id="rId21" Type="http://schemas.openxmlformats.org/officeDocument/2006/relationships/hyperlink" Target="https://www.linkedin.com/in/ravihkumar/" TargetMode="External"/><Relationship Id="rId24" Type="http://schemas.openxmlformats.org/officeDocument/2006/relationships/hyperlink" Target="https://www.linkedin.com/in/sindhunanaiah/" TargetMode="External"/><Relationship Id="rId23" Type="http://schemas.openxmlformats.org/officeDocument/2006/relationships/hyperlink" Target="https://www.linkedin.com/in/ramit-james-ash-4716b641/" TargetMode="External"/><Relationship Id="rId26" Type="http://schemas.openxmlformats.org/officeDocument/2006/relationships/hyperlink" Target="https://www.linkedin.com/in/seema-chand-8b27a34/" TargetMode="External"/><Relationship Id="rId25" Type="http://schemas.openxmlformats.org/officeDocument/2006/relationships/hyperlink" Target="https://www.linkedin.com/in/sarita-mish/" TargetMode="External"/><Relationship Id="rId28" Type="http://schemas.openxmlformats.org/officeDocument/2006/relationships/hyperlink" Target="https://www.linkedin.com/in/shwetha95/" TargetMode="External"/><Relationship Id="rId27" Type="http://schemas.openxmlformats.org/officeDocument/2006/relationships/hyperlink" Target="https://www.linkedin.com/in/likithananda/" TargetMode="External"/><Relationship Id="rId29" Type="http://schemas.openxmlformats.org/officeDocument/2006/relationships/hyperlink" Target="https://www.linkedin.com/in/suresh-kumar-s-8411366/" TargetMode="External"/><Relationship Id="rId11" Type="http://schemas.openxmlformats.org/officeDocument/2006/relationships/hyperlink" Target="https://www.linkedin.com/in/mohankumark/" TargetMode="External"/><Relationship Id="rId10" Type="http://schemas.openxmlformats.org/officeDocument/2006/relationships/hyperlink" Target="https://www.linkedin.com/in/agrlankur/" TargetMode="External"/><Relationship Id="rId13" Type="http://schemas.openxmlformats.org/officeDocument/2006/relationships/hyperlink" Target="https://www.linkedin.com/in/pramidha-reddy-billa-648419103/" TargetMode="External"/><Relationship Id="rId12" Type="http://schemas.openxmlformats.org/officeDocument/2006/relationships/hyperlink" Target="https://www.linkedin.com/in/chitra-s-1391a44/" TargetMode="External"/><Relationship Id="rId15" Type="http://schemas.openxmlformats.org/officeDocument/2006/relationships/hyperlink" Target="https://www.linkedin.com/in/pngowda/" TargetMode="External"/><Relationship Id="rId198" Type="http://schemas.openxmlformats.org/officeDocument/2006/relationships/hyperlink" Target="https://www.linkedin.com/in/poojaguptacapgemini/" TargetMode="External"/><Relationship Id="rId14" Type="http://schemas.openxmlformats.org/officeDocument/2006/relationships/hyperlink" Target="https://www.linkedin.com/in/swetajaiswal/" TargetMode="External"/><Relationship Id="rId197" Type="http://schemas.openxmlformats.org/officeDocument/2006/relationships/hyperlink" Target="https://www.linkedin.com/in/shivakumarkb/" TargetMode="External"/><Relationship Id="rId17" Type="http://schemas.openxmlformats.org/officeDocument/2006/relationships/hyperlink" Target="https://www.linkedin.com/in/gopala-krishnaiah-n-7821b757/" TargetMode="External"/><Relationship Id="rId196" Type="http://schemas.openxmlformats.org/officeDocument/2006/relationships/hyperlink" Target="https://www.linkedin.com/in/girish-nandimath-a4040316/" TargetMode="External"/><Relationship Id="rId16" Type="http://schemas.openxmlformats.org/officeDocument/2006/relationships/hyperlink" Target="https://www.linkedin.com/in/sangeetha-anand-b937543/" TargetMode="External"/><Relationship Id="rId195" Type="http://schemas.openxmlformats.org/officeDocument/2006/relationships/hyperlink" Target="https://www.linkedin.com/in/raihan-shahzada-582aa47/" TargetMode="External"/><Relationship Id="rId19" Type="http://schemas.openxmlformats.org/officeDocument/2006/relationships/hyperlink" Target="https://www.linkedin.com/in/vishal-tiwari-3a712a33/" TargetMode="External"/><Relationship Id="rId18" Type="http://schemas.openxmlformats.org/officeDocument/2006/relationships/hyperlink" Target="https://www.linkedin.com/in/govind-m-30a0a25/" TargetMode="External"/><Relationship Id="rId199" Type="http://schemas.openxmlformats.org/officeDocument/2006/relationships/hyperlink" Target="https://www.linkedin.com/in/anchanarasinaguppe/" TargetMode="External"/><Relationship Id="rId84" Type="http://schemas.openxmlformats.org/officeDocument/2006/relationships/hyperlink" Target="https://www.linkedin.com/in/vanajadev/" TargetMode="External"/><Relationship Id="rId83" Type="http://schemas.openxmlformats.org/officeDocument/2006/relationships/hyperlink" Target="https://www.linkedin.com/in/sandeep28/" TargetMode="External"/><Relationship Id="rId86" Type="http://schemas.openxmlformats.org/officeDocument/2006/relationships/hyperlink" Target="https://www.linkedin.com/in/rajaraguram/" TargetMode="External"/><Relationship Id="rId85" Type="http://schemas.openxmlformats.org/officeDocument/2006/relationships/hyperlink" Target="https://www.linkedin.com/in/naveen-e-375b39a9/" TargetMode="External"/><Relationship Id="rId88" Type="http://schemas.openxmlformats.org/officeDocument/2006/relationships/hyperlink" Target="https://www.linkedin.com/in/aravindchandrasekar/" TargetMode="External"/><Relationship Id="rId150" Type="http://schemas.openxmlformats.org/officeDocument/2006/relationships/hyperlink" Target="https://www.linkedin.com/in/achappab/" TargetMode="External"/><Relationship Id="rId87" Type="http://schemas.openxmlformats.org/officeDocument/2006/relationships/hyperlink" Target="https://www.linkedin.com/in/jayanthi-pal-0a5a052b/" TargetMode="External"/><Relationship Id="rId89" Type="http://schemas.openxmlformats.org/officeDocument/2006/relationships/hyperlink" Target="https://www.linkedin.com/in/saurabhkharbanda/" TargetMode="External"/><Relationship Id="rId80" Type="http://schemas.openxmlformats.org/officeDocument/2006/relationships/hyperlink" Target="http://observe.ai" TargetMode="External"/><Relationship Id="rId82" Type="http://schemas.openxmlformats.org/officeDocument/2006/relationships/hyperlink" Target="https://www.linkedin.com/in/dilip-singh-383082bb/" TargetMode="External"/><Relationship Id="rId81" Type="http://schemas.openxmlformats.org/officeDocument/2006/relationships/hyperlink" Target="https://www.linkedin.com/in/deepak-babu-2b8a324/" TargetMode="External"/><Relationship Id="rId1" Type="http://schemas.openxmlformats.org/officeDocument/2006/relationships/hyperlink" Target="https://www.linkedin.com/in/adityasingh/" TargetMode="External"/><Relationship Id="rId2" Type="http://schemas.openxmlformats.org/officeDocument/2006/relationships/hyperlink" Target="https://www.linkedin.com/in/uttamkumarsanghi/" TargetMode="External"/><Relationship Id="rId3" Type="http://schemas.openxmlformats.org/officeDocument/2006/relationships/hyperlink" Target="https://www.linkedin.com/in/mayank-singh-43543788/" TargetMode="External"/><Relationship Id="rId149" Type="http://schemas.openxmlformats.org/officeDocument/2006/relationships/hyperlink" Target="https://www.linkedin.com/in/aparna-chatterjee-446a5414/" TargetMode="External"/><Relationship Id="rId4" Type="http://schemas.openxmlformats.org/officeDocument/2006/relationships/hyperlink" Target="https://www.linkedin.com/in/anju-sansoa-7053aa29/" TargetMode="External"/><Relationship Id="rId148" Type="http://schemas.openxmlformats.org/officeDocument/2006/relationships/hyperlink" Target="https://www.linkedin.com/in/latabhat/" TargetMode="External"/><Relationship Id="rId9" Type="http://schemas.openxmlformats.org/officeDocument/2006/relationships/hyperlink" Target="https://www.linkedin.com/in/harshanraj/" TargetMode="External"/><Relationship Id="rId143" Type="http://schemas.openxmlformats.org/officeDocument/2006/relationships/hyperlink" Target="https://www.linkedin.com/in/abhiroop27/" TargetMode="External"/><Relationship Id="rId142" Type="http://schemas.openxmlformats.org/officeDocument/2006/relationships/hyperlink" Target="https://www.linkedin.com/in/ajithprakash/" TargetMode="External"/><Relationship Id="rId141" Type="http://schemas.openxmlformats.org/officeDocument/2006/relationships/hyperlink" Target="https://www.linkedin.com/in/deepakkudachi/" TargetMode="External"/><Relationship Id="rId140" Type="http://schemas.openxmlformats.org/officeDocument/2006/relationships/hyperlink" Target="https://www.linkedin.com/in/priyankasibm/" TargetMode="External"/><Relationship Id="rId5" Type="http://schemas.openxmlformats.org/officeDocument/2006/relationships/hyperlink" Target="https://www.linkedin.com/in/reach2rakesh/" TargetMode="External"/><Relationship Id="rId147" Type="http://schemas.openxmlformats.org/officeDocument/2006/relationships/hyperlink" Target="https://www.linkedin.com/in/chandasmita-talukdar/" TargetMode="External"/><Relationship Id="rId6" Type="http://schemas.openxmlformats.org/officeDocument/2006/relationships/hyperlink" Target="https://www.linkedin.com/in/swapna-jadhav-7794563/" TargetMode="External"/><Relationship Id="rId146" Type="http://schemas.openxmlformats.org/officeDocument/2006/relationships/hyperlink" Target="https://www.linkedin.com/in/rupa-patra-28351b194/" TargetMode="External"/><Relationship Id="rId7" Type="http://schemas.openxmlformats.org/officeDocument/2006/relationships/hyperlink" Target="https://www.linkedin.com/in/raghavendrashetty/" TargetMode="External"/><Relationship Id="rId145" Type="http://schemas.openxmlformats.org/officeDocument/2006/relationships/hyperlink" Target="https://www.linkedin.com/in/debaprasad-dutta-6a34184/" TargetMode="External"/><Relationship Id="rId8" Type="http://schemas.openxmlformats.org/officeDocument/2006/relationships/hyperlink" Target="https://www.linkedin.com/in/charu-chandra-7170672/" TargetMode="External"/><Relationship Id="rId144" Type="http://schemas.openxmlformats.org/officeDocument/2006/relationships/hyperlink" Target="https://www.linkedin.com/in/lincoln-victor-0b815617/" TargetMode="External"/><Relationship Id="rId73" Type="http://schemas.openxmlformats.org/officeDocument/2006/relationships/hyperlink" Target="https://www.linkedin.com/in/rathishnarayanan/" TargetMode="External"/><Relationship Id="rId72" Type="http://schemas.openxmlformats.org/officeDocument/2006/relationships/hyperlink" Target="https://www.linkedin.com/in/manjula-komala-9173846/" TargetMode="External"/><Relationship Id="rId75" Type="http://schemas.openxmlformats.org/officeDocument/2006/relationships/hyperlink" Target="https://www.linkedin.com/in/jayhrp/" TargetMode="External"/><Relationship Id="rId74" Type="http://schemas.openxmlformats.org/officeDocument/2006/relationships/hyperlink" Target="https://www.linkedin.com/in/sudip-datta-a592707/" TargetMode="External"/><Relationship Id="rId77" Type="http://schemas.openxmlformats.org/officeDocument/2006/relationships/hyperlink" Target="https://www.linkedin.com/in/ravindranathbarrey/" TargetMode="External"/><Relationship Id="rId76" Type="http://schemas.openxmlformats.org/officeDocument/2006/relationships/hyperlink" Target="https://www.linkedin.com/in/santosh-t-k-156b2925/" TargetMode="External"/><Relationship Id="rId79" Type="http://schemas.openxmlformats.org/officeDocument/2006/relationships/hyperlink" Target="https://www.linkedin.com/in/srikant-raje-urs-h-s-815a1340/" TargetMode="External"/><Relationship Id="rId78" Type="http://schemas.openxmlformats.org/officeDocument/2006/relationships/hyperlink" Target="https://www.linkedin.com/in/maria-roy-12658b20/" TargetMode="External"/><Relationship Id="rId71" Type="http://schemas.openxmlformats.org/officeDocument/2006/relationships/hyperlink" Target="https://www.linkedin.com/in/balamurugan-muthukumaraswamy-4a40b14/" TargetMode="External"/><Relationship Id="rId70" Type="http://schemas.openxmlformats.org/officeDocument/2006/relationships/hyperlink" Target="https://www.linkedin.com/in/stitamisra/" TargetMode="External"/><Relationship Id="rId139" Type="http://schemas.openxmlformats.org/officeDocument/2006/relationships/hyperlink" Target="https://www.linkedin.com/in/amangupta1981/" TargetMode="External"/><Relationship Id="rId138" Type="http://schemas.openxmlformats.org/officeDocument/2006/relationships/hyperlink" Target="https://www.linkedin.com/in/shifalika-uppal-821a4958/" TargetMode="External"/><Relationship Id="rId137" Type="http://schemas.openxmlformats.org/officeDocument/2006/relationships/hyperlink" Target="https://www.linkedin.com/in/hiremath-shruti/" TargetMode="External"/><Relationship Id="rId132" Type="http://schemas.openxmlformats.org/officeDocument/2006/relationships/hyperlink" Target="https://www.linkedin.com/in/shashidhar-naik-0b2980166/" TargetMode="External"/><Relationship Id="rId131" Type="http://schemas.openxmlformats.org/officeDocument/2006/relationships/hyperlink" Target="https://www.linkedin.com/in/touseef-ahmed-2453a021/" TargetMode="External"/><Relationship Id="rId130" Type="http://schemas.openxmlformats.org/officeDocument/2006/relationships/hyperlink" Target="https://www.linkedin.com/in/ajay-krishnankutty-64124b4/" TargetMode="External"/><Relationship Id="rId251" Type="http://schemas.openxmlformats.org/officeDocument/2006/relationships/drawing" Target="../drawings/drawing1.xml"/><Relationship Id="rId250" Type="http://schemas.openxmlformats.org/officeDocument/2006/relationships/hyperlink" Target="https://www.linkedin.com/in/sonublr19/" TargetMode="External"/><Relationship Id="rId136" Type="http://schemas.openxmlformats.org/officeDocument/2006/relationships/hyperlink" Target="https://www.linkedin.com/in/jaikishankhatri/" TargetMode="External"/><Relationship Id="rId135" Type="http://schemas.openxmlformats.org/officeDocument/2006/relationships/hyperlink" Target="https://www.linkedin.com/in/neha-chakrabarty-596704a5/" TargetMode="External"/><Relationship Id="rId134" Type="http://schemas.openxmlformats.org/officeDocument/2006/relationships/hyperlink" Target="https://www.linkedin.com/in/saumenb/" TargetMode="External"/><Relationship Id="rId133" Type="http://schemas.openxmlformats.org/officeDocument/2006/relationships/hyperlink" Target="https://www.linkedin.com/in/vinodh-kumar-9931119/" TargetMode="External"/><Relationship Id="rId62" Type="http://schemas.openxmlformats.org/officeDocument/2006/relationships/hyperlink" Target="https://www.linkedin.com/in/mukherjeemithun/" TargetMode="External"/><Relationship Id="rId61" Type="http://schemas.openxmlformats.org/officeDocument/2006/relationships/hyperlink" Target="https://www.linkedin.com/in/priyadharshinimanavalan/" TargetMode="External"/><Relationship Id="rId64" Type="http://schemas.openxmlformats.org/officeDocument/2006/relationships/hyperlink" Target="https://www.linkedin.com/in/nishithk/" TargetMode="External"/><Relationship Id="rId63" Type="http://schemas.openxmlformats.org/officeDocument/2006/relationships/hyperlink" Target="https://www.linkedin.com/in/rita-patel-86560b29/" TargetMode="External"/><Relationship Id="rId66" Type="http://schemas.openxmlformats.org/officeDocument/2006/relationships/hyperlink" Target="https://www.linkedin.com/in/vidyasagarvedanabhatla/" TargetMode="External"/><Relationship Id="rId172" Type="http://schemas.openxmlformats.org/officeDocument/2006/relationships/hyperlink" Target="https://www.linkedin.com/in/mahidhara/" TargetMode="External"/><Relationship Id="rId65" Type="http://schemas.openxmlformats.org/officeDocument/2006/relationships/hyperlink" Target="https://www.linkedin.com/in/anoophiwalay/" TargetMode="External"/><Relationship Id="rId171" Type="http://schemas.openxmlformats.org/officeDocument/2006/relationships/hyperlink" Target="https://www.linkedin.com/in/suresh-aade/" TargetMode="External"/><Relationship Id="rId68" Type="http://schemas.openxmlformats.org/officeDocument/2006/relationships/hyperlink" Target="https://www.linkedin.com/in/rithin-thimmaiah/" TargetMode="External"/><Relationship Id="rId170" Type="http://schemas.openxmlformats.org/officeDocument/2006/relationships/hyperlink" Target="https://www.linkedin.com/in/pandialaguraja/" TargetMode="External"/><Relationship Id="rId67" Type="http://schemas.openxmlformats.org/officeDocument/2006/relationships/hyperlink" Target="https://www.linkedin.com/in/deepa-bhushan/" TargetMode="External"/><Relationship Id="rId60" Type="http://schemas.openxmlformats.org/officeDocument/2006/relationships/hyperlink" Target="https://www.linkedin.com/in/aiyappa-k-v-95444164/" TargetMode="External"/><Relationship Id="rId165" Type="http://schemas.openxmlformats.org/officeDocument/2006/relationships/hyperlink" Target="https://www.linkedin.com/in/prasad-m-1874724/" TargetMode="External"/><Relationship Id="rId69" Type="http://schemas.openxmlformats.org/officeDocument/2006/relationships/hyperlink" Target="https://www.linkedin.com/in/sajanjohari/" TargetMode="External"/><Relationship Id="rId164" Type="http://schemas.openxmlformats.org/officeDocument/2006/relationships/hyperlink" Target="https://www.linkedin.com/in/naveen-dabade/" TargetMode="External"/><Relationship Id="rId163" Type="http://schemas.openxmlformats.org/officeDocument/2006/relationships/hyperlink" Target="https://www.linkedin.com/in/puneetkumra/" TargetMode="External"/><Relationship Id="rId162" Type="http://schemas.openxmlformats.org/officeDocument/2006/relationships/hyperlink" Target="https://www.linkedin.com/in/sowmyamoorthy/" TargetMode="External"/><Relationship Id="rId169" Type="http://schemas.openxmlformats.org/officeDocument/2006/relationships/hyperlink" Target="https://www.linkedin.com/in/sulabhk/" TargetMode="External"/><Relationship Id="rId168" Type="http://schemas.openxmlformats.org/officeDocument/2006/relationships/hyperlink" Target="https://www.linkedin.com/in/pavansriram/" TargetMode="External"/><Relationship Id="rId167" Type="http://schemas.openxmlformats.org/officeDocument/2006/relationships/hyperlink" Target="https://www.linkedin.com/in/diptiranjan-pradhan/" TargetMode="External"/><Relationship Id="rId166" Type="http://schemas.openxmlformats.org/officeDocument/2006/relationships/hyperlink" Target="https://www.linkedin.com/in/reshmiprakash/" TargetMode="External"/><Relationship Id="rId51" Type="http://schemas.openxmlformats.org/officeDocument/2006/relationships/hyperlink" Target="https://www.linkedin.com/in/saritha-marthanda-varma-4057094/" TargetMode="External"/><Relationship Id="rId50" Type="http://schemas.openxmlformats.org/officeDocument/2006/relationships/hyperlink" Target="https://www.linkedin.com/in/utpalkirodian/" TargetMode="External"/><Relationship Id="rId53" Type="http://schemas.openxmlformats.org/officeDocument/2006/relationships/hyperlink" Target="https://www.linkedin.com/in/chengappaak/" TargetMode="External"/><Relationship Id="rId52" Type="http://schemas.openxmlformats.org/officeDocument/2006/relationships/hyperlink" Target="https://www.linkedin.com/in/vijayal/" TargetMode="External"/><Relationship Id="rId55" Type="http://schemas.openxmlformats.org/officeDocument/2006/relationships/hyperlink" Target="https://www.linkedin.com/in/vandana-chotrani-11657a4/" TargetMode="External"/><Relationship Id="rId161" Type="http://schemas.openxmlformats.org/officeDocument/2006/relationships/hyperlink" Target="https://www.linkedin.com/in/shaishav-bhatnagar-29b7766/" TargetMode="External"/><Relationship Id="rId54" Type="http://schemas.openxmlformats.org/officeDocument/2006/relationships/hyperlink" Target="https://www.linkedin.com/in/krishnakk/" TargetMode="External"/><Relationship Id="rId160" Type="http://schemas.openxmlformats.org/officeDocument/2006/relationships/hyperlink" Target="https://www.linkedin.com/in/padmaja-pandey-8313a111/" TargetMode="External"/><Relationship Id="rId57" Type="http://schemas.openxmlformats.org/officeDocument/2006/relationships/hyperlink" Target="https://www.linkedin.com/in/devaiaham/" TargetMode="External"/><Relationship Id="rId56" Type="http://schemas.openxmlformats.org/officeDocument/2006/relationships/hyperlink" Target="https://www.linkedin.com/in/sumana-srivastava-9364274/" TargetMode="External"/><Relationship Id="rId159" Type="http://schemas.openxmlformats.org/officeDocument/2006/relationships/hyperlink" Target="https://www.linkedin.com/in/sonali-raj-22877114a/" TargetMode="External"/><Relationship Id="rId59" Type="http://schemas.openxmlformats.org/officeDocument/2006/relationships/hyperlink" Target="https://www.linkedin.com/in/jsharma2588/" TargetMode="External"/><Relationship Id="rId154" Type="http://schemas.openxmlformats.org/officeDocument/2006/relationships/hyperlink" Target="https://www.linkedin.com/in/sanyaraina/" TargetMode="External"/><Relationship Id="rId58" Type="http://schemas.openxmlformats.org/officeDocument/2006/relationships/hyperlink" Target="https://www.linkedin.com/in/harshashekar/" TargetMode="External"/><Relationship Id="rId153" Type="http://schemas.openxmlformats.org/officeDocument/2006/relationships/hyperlink" Target="https://www.linkedin.com/in/karthiknair/" TargetMode="External"/><Relationship Id="rId152" Type="http://schemas.openxmlformats.org/officeDocument/2006/relationships/hyperlink" Target="https://www.linkedin.com/in/richi-singh-44429318/" TargetMode="External"/><Relationship Id="rId151" Type="http://schemas.openxmlformats.org/officeDocument/2006/relationships/hyperlink" Target="https://www.linkedin.com/in/anusha-hannah-malekar-41673575/" TargetMode="External"/><Relationship Id="rId158" Type="http://schemas.openxmlformats.org/officeDocument/2006/relationships/hyperlink" Target="https://www.linkedin.com/in/hemishkarthik/" TargetMode="External"/><Relationship Id="rId157" Type="http://schemas.openxmlformats.org/officeDocument/2006/relationships/hyperlink" Target="https://www.linkedin.com/in/shruthi-shetty-41a86038/" TargetMode="External"/><Relationship Id="rId156" Type="http://schemas.openxmlformats.org/officeDocument/2006/relationships/hyperlink" Target="https://www.linkedin.com/in/akshay-b-40658b7/" TargetMode="External"/><Relationship Id="rId155" Type="http://schemas.openxmlformats.org/officeDocument/2006/relationships/hyperlink" Target="https://www.linkedin.com/in/mrrju/" TargetMode="External"/><Relationship Id="rId107" Type="http://schemas.openxmlformats.org/officeDocument/2006/relationships/hyperlink" Target="https://www.linkedin.com/in/jayvellat/" TargetMode="External"/><Relationship Id="rId228" Type="http://schemas.openxmlformats.org/officeDocument/2006/relationships/hyperlink" Target="https://www.linkedin.com/in/kapilrajs/" TargetMode="External"/><Relationship Id="rId106" Type="http://schemas.openxmlformats.org/officeDocument/2006/relationships/hyperlink" Target="https://www.linkedin.com/in/raoambati/" TargetMode="External"/><Relationship Id="rId227" Type="http://schemas.openxmlformats.org/officeDocument/2006/relationships/hyperlink" Target="https://www.linkedin.com/in/mohan-ramakrishna-mrk/" TargetMode="External"/><Relationship Id="rId105" Type="http://schemas.openxmlformats.org/officeDocument/2006/relationships/hyperlink" Target="https://www.linkedin.com/in/atirek-gautam-9ba0b921/" TargetMode="External"/><Relationship Id="rId226" Type="http://schemas.openxmlformats.org/officeDocument/2006/relationships/hyperlink" Target="https://www.linkedin.com/in/virupaksha/" TargetMode="External"/><Relationship Id="rId104" Type="http://schemas.openxmlformats.org/officeDocument/2006/relationships/hyperlink" Target="https://www.linkedin.com/in/gangadharsalimath/" TargetMode="External"/><Relationship Id="rId225" Type="http://schemas.openxmlformats.org/officeDocument/2006/relationships/hyperlink" Target="https://www.linkedin.com/in/jackiedolphina/" TargetMode="External"/><Relationship Id="rId109" Type="http://schemas.openxmlformats.org/officeDocument/2006/relationships/hyperlink" Target="https://www.linkedin.com/in/allah-bakash-64899712/" TargetMode="External"/><Relationship Id="rId108" Type="http://schemas.openxmlformats.org/officeDocument/2006/relationships/hyperlink" Target="http://linkedin.com/in/manjunath-nallapeta-2099968/" TargetMode="External"/><Relationship Id="rId229" Type="http://schemas.openxmlformats.org/officeDocument/2006/relationships/hyperlink" Target="https://www.linkedin.com/in/britya/" TargetMode="External"/><Relationship Id="rId220" Type="http://schemas.openxmlformats.org/officeDocument/2006/relationships/hyperlink" Target="https://www.linkedin.com/in/srinivasa-rao-54598923/" TargetMode="External"/><Relationship Id="rId103" Type="http://schemas.openxmlformats.org/officeDocument/2006/relationships/hyperlink" Target="https://www.linkedin.com/in/anupama-bajpai/" TargetMode="External"/><Relationship Id="rId224" Type="http://schemas.openxmlformats.org/officeDocument/2006/relationships/hyperlink" Target="https://www.linkedin.com/in/yaminikrishnan/" TargetMode="External"/><Relationship Id="rId102" Type="http://schemas.openxmlformats.org/officeDocument/2006/relationships/hyperlink" Target="https://www.linkedin.com/in/karthik-hoskote-aaaab317/" TargetMode="External"/><Relationship Id="rId223" Type="http://schemas.openxmlformats.org/officeDocument/2006/relationships/hyperlink" Target="https://www.linkedin.com/in/trina-dhar-kini-4300185/" TargetMode="External"/><Relationship Id="rId101" Type="http://schemas.openxmlformats.org/officeDocument/2006/relationships/hyperlink" Target="https://www.linkedin.com/in/babitha-george-b714bbab/" TargetMode="External"/><Relationship Id="rId222" Type="http://schemas.openxmlformats.org/officeDocument/2006/relationships/hyperlink" Target="https://www.linkedin.com/in/tanmay-agarwal-783a728/" TargetMode="External"/><Relationship Id="rId100" Type="http://schemas.openxmlformats.org/officeDocument/2006/relationships/hyperlink" Target="https://www.linkedin.com/in/balaji-kamaraj/" TargetMode="External"/><Relationship Id="rId221" Type="http://schemas.openxmlformats.org/officeDocument/2006/relationships/hyperlink" Target="https://www.linkedin.com/in/swatiraghunandan/" TargetMode="External"/><Relationship Id="rId217" Type="http://schemas.openxmlformats.org/officeDocument/2006/relationships/hyperlink" Target="https://www.linkedin.com/in/bhawish-awasthy05/" TargetMode="External"/><Relationship Id="rId216" Type="http://schemas.openxmlformats.org/officeDocument/2006/relationships/hyperlink" Target="https://www.linkedin.com/in/anshuman/" TargetMode="External"/><Relationship Id="rId215" Type="http://schemas.openxmlformats.org/officeDocument/2006/relationships/hyperlink" Target="https://www.linkedin.com/in/ameet-kumar-2164509/?isSelfProfile=false" TargetMode="External"/><Relationship Id="rId214" Type="http://schemas.openxmlformats.org/officeDocument/2006/relationships/hyperlink" Target="https://www.linkedin.com/in/rissey-babu-21802a25/" TargetMode="External"/><Relationship Id="rId219" Type="http://schemas.openxmlformats.org/officeDocument/2006/relationships/hyperlink" Target="https://www.linkedin.com/in/sreekumarkadavath/" TargetMode="External"/><Relationship Id="rId218" Type="http://schemas.openxmlformats.org/officeDocument/2006/relationships/hyperlink" Target="https://www.linkedin.com/in/puja-rungta-agarwal-99965221/" TargetMode="External"/><Relationship Id="rId213" Type="http://schemas.openxmlformats.org/officeDocument/2006/relationships/hyperlink" Target="https://www.linkedin.com/in/sushmanayak11/" TargetMode="External"/><Relationship Id="rId212" Type="http://schemas.openxmlformats.org/officeDocument/2006/relationships/hyperlink" Target="https://www.linkedin.com/in/ashokesingh/" TargetMode="External"/><Relationship Id="rId211" Type="http://schemas.openxmlformats.org/officeDocument/2006/relationships/hyperlink" Target="https://www.linkedin.com/in/rahulkapase/" TargetMode="External"/><Relationship Id="rId210" Type="http://schemas.openxmlformats.org/officeDocument/2006/relationships/hyperlink" Target="https://www.linkedin.com/in/agarg/" TargetMode="External"/><Relationship Id="rId129" Type="http://schemas.openxmlformats.org/officeDocument/2006/relationships/hyperlink" Target="https://www.linkedin.com/in/mahesh-s-14881a104/" TargetMode="External"/><Relationship Id="rId128" Type="http://schemas.openxmlformats.org/officeDocument/2006/relationships/hyperlink" Target="https://www.linkedin.com/in/surej-pillai-aa010683/" TargetMode="External"/><Relationship Id="rId249" Type="http://schemas.openxmlformats.org/officeDocument/2006/relationships/hyperlink" Target="https://www.linkedin.com/in/srikant-raje-urs-h-s-815a1340/" TargetMode="External"/><Relationship Id="rId127" Type="http://schemas.openxmlformats.org/officeDocument/2006/relationships/hyperlink" Target="https://www.linkedin.com/in/lakshmi-venkatesh-86a2b7a5/" TargetMode="External"/><Relationship Id="rId248" Type="http://schemas.openxmlformats.org/officeDocument/2006/relationships/hyperlink" Target="https://www.linkedin.com/in/shivangi-tyagi-655a0435/" TargetMode="External"/><Relationship Id="rId126" Type="http://schemas.openxmlformats.org/officeDocument/2006/relationships/hyperlink" Target="https://www.linkedin.com/in/bhavyashriyan/" TargetMode="External"/><Relationship Id="rId247" Type="http://schemas.openxmlformats.org/officeDocument/2006/relationships/hyperlink" Target="https://www.linkedin.com/in/saurav-pandey-8470894a/" TargetMode="External"/><Relationship Id="rId121" Type="http://schemas.openxmlformats.org/officeDocument/2006/relationships/hyperlink" Target="https://www.linkedin.com/in/hemali-sanghvi-3b08326/" TargetMode="External"/><Relationship Id="rId242" Type="http://schemas.openxmlformats.org/officeDocument/2006/relationships/hyperlink" Target="https://www.linkedin.com/in/rahulnandi17/" TargetMode="External"/><Relationship Id="rId120" Type="http://schemas.openxmlformats.org/officeDocument/2006/relationships/hyperlink" Target="https://www.linkedin.com/in/arghya-mandal-b06a9113/" TargetMode="External"/><Relationship Id="rId241" Type="http://schemas.openxmlformats.org/officeDocument/2006/relationships/hyperlink" Target="https://www.linkedin.com/in/rahuljaintaleader/" TargetMode="External"/><Relationship Id="rId240" Type="http://schemas.openxmlformats.org/officeDocument/2006/relationships/hyperlink" Target="https://www.linkedin.com/in/deepajagarlapudi/" TargetMode="External"/><Relationship Id="rId125" Type="http://schemas.openxmlformats.org/officeDocument/2006/relationships/hyperlink" Target="https://www.linkedin.com/in/khushboo-singh-6b706325/" TargetMode="External"/><Relationship Id="rId246" Type="http://schemas.openxmlformats.org/officeDocument/2006/relationships/hyperlink" Target="https://www.linkedin.com/in/neeraj-sharma-a8250922b/" TargetMode="External"/><Relationship Id="rId124" Type="http://schemas.openxmlformats.org/officeDocument/2006/relationships/hyperlink" Target="https://www.linkedin.com/in/sujaantony/" TargetMode="External"/><Relationship Id="rId245" Type="http://schemas.openxmlformats.org/officeDocument/2006/relationships/hyperlink" Target="https://www.linkedin.com/in/chandnarajag/" TargetMode="External"/><Relationship Id="rId123" Type="http://schemas.openxmlformats.org/officeDocument/2006/relationships/hyperlink" Target="https://www.linkedin.com/in/seemahifza/" TargetMode="External"/><Relationship Id="rId244" Type="http://schemas.openxmlformats.org/officeDocument/2006/relationships/hyperlink" Target="https://www.linkedin.com/in/satendra-kumar-6b79a03/" TargetMode="External"/><Relationship Id="rId122" Type="http://schemas.openxmlformats.org/officeDocument/2006/relationships/hyperlink" Target="https://www.linkedin.com/in/geetanjali-chhabra-3739889/" TargetMode="External"/><Relationship Id="rId243" Type="http://schemas.openxmlformats.org/officeDocument/2006/relationships/hyperlink" Target="https://www.linkedin.com/in/vishal-bansal-a977731/" TargetMode="External"/><Relationship Id="rId95" Type="http://schemas.openxmlformats.org/officeDocument/2006/relationships/hyperlink" Target="https://www.linkedin.com/in/sateesht18/" TargetMode="External"/><Relationship Id="rId94" Type="http://schemas.openxmlformats.org/officeDocument/2006/relationships/hyperlink" Target="https://www.linkedin.com/in/pritiacharyaprofile/" TargetMode="External"/><Relationship Id="rId97" Type="http://schemas.openxmlformats.org/officeDocument/2006/relationships/hyperlink" Target="https://www.linkedin.com/in/tathagatar/" TargetMode="External"/><Relationship Id="rId96" Type="http://schemas.openxmlformats.org/officeDocument/2006/relationships/hyperlink" Target="https://www.linkedin.com/in/ashwin-singh-8871b23/" TargetMode="External"/><Relationship Id="rId99" Type="http://schemas.openxmlformats.org/officeDocument/2006/relationships/hyperlink" Target="https://www.linkedin.com/in/rashminarayanhr/" TargetMode="External"/><Relationship Id="rId98" Type="http://schemas.openxmlformats.org/officeDocument/2006/relationships/hyperlink" Target="https://www.linkedin.com/in/srinivas-thimmaiah-6716856/" TargetMode="External"/><Relationship Id="rId91" Type="http://schemas.openxmlformats.org/officeDocument/2006/relationships/hyperlink" Target="https://www.linkedin.com/in/robin-n-p-5963258/" TargetMode="External"/><Relationship Id="rId90" Type="http://schemas.openxmlformats.org/officeDocument/2006/relationships/hyperlink" Target="https://www.linkedin.com/in/pranavpande/" TargetMode="External"/><Relationship Id="rId93" Type="http://schemas.openxmlformats.org/officeDocument/2006/relationships/hyperlink" Target="https://www.linkedin.com/in/manohar-kakade-56975718/" TargetMode="External"/><Relationship Id="rId92" Type="http://schemas.openxmlformats.org/officeDocument/2006/relationships/hyperlink" Target="https://www.linkedin.com/in/sharath-kumar-54226a29/" TargetMode="External"/><Relationship Id="rId118" Type="http://schemas.openxmlformats.org/officeDocument/2006/relationships/hyperlink" Target="https://www.linkedin.com/in/aroyonline/" TargetMode="External"/><Relationship Id="rId239" Type="http://schemas.openxmlformats.org/officeDocument/2006/relationships/hyperlink" Target="https://www.linkedin.com/in/sisathya/" TargetMode="External"/><Relationship Id="rId117" Type="http://schemas.openxmlformats.org/officeDocument/2006/relationships/hyperlink" Target="https://www.linkedin.com/in/spandan-ghosh-76310a12/" TargetMode="External"/><Relationship Id="rId238" Type="http://schemas.openxmlformats.org/officeDocument/2006/relationships/hyperlink" Target="https://www.linkedin.com/in/swathi-shetty-658259102/" TargetMode="External"/><Relationship Id="rId116" Type="http://schemas.openxmlformats.org/officeDocument/2006/relationships/hyperlink" Target="https://www.linkedin.com/in/nadeempasha/" TargetMode="External"/><Relationship Id="rId237" Type="http://schemas.openxmlformats.org/officeDocument/2006/relationships/hyperlink" Target="https://www.linkedin.com/in/arunkumarbabuhr/" TargetMode="External"/><Relationship Id="rId115" Type="http://schemas.openxmlformats.org/officeDocument/2006/relationships/hyperlink" Target="https://www.robosoftin.com/?utm_source=chatgpt.com" TargetMode="External"/><Relationship Id="rId236" Type="http://schemas.openxmlformats.org/officeDocument/2006/relationships/hyperlink" Target="https://www.linkedin.com/in/gauravahluwalia20/" TargetMode="External"/><Relationship Id="rId119" Type="http://schemas.openxmlformats.org/officeDocument/2006/relationships/hyperlink" Target="https://www.linkedin.com/in/rachit-chandra-54773a5/" TargetMode="External"/><Relationship Id="rId110" Type="http://schemas.openxmlformats.org/officeDocument/2006/relationships/hyperlink" Target="https://www.linkedin.com/in/arulprakasharumainathan/" TargetMode="External"/><Relationship Id="rId231" Type="http://schemas.openxmlformats.org/officeDocument/2006/relationships/hyperlink" Target="https://www.linkedin.com/in/shubhayu-sengupta-6b44887/" TargetMode="External"/><Relationship Id="rId230" Type="http://schemas.openxmlformats.org/officeDocument/2006/relationships/hyperlink" Target="https://www.linkedin.com/in/sanavulla-c-9ba2bba4/" TargetMode="External"/><Relationship Id="rId114" Type="http://schemas.openxmlformats.org/officeDocument/2006/relationships/hyperlink" Target="https://www.linkedin.com/in/sreenivas-vadaguru-68a9a38/" TargetMode="External"/><Relationship Id="rId235" Type="http://schemas.openxmlformats.org/officeDocument/2006/relationships/hyperlink" Target="https://www.linkedin.com/in/chandrasumit/" TargetMode="External"/><Relationship Id="rId113" Type="http://schemas.openxmlformats.org/officeDocument/2006/relationships/hyperlink" Target="https://www.linkedin.com/in/sandeepmurthy7/" TargetMode="External"/><Relationship Id="rId234" Type="http://schemas.openxmlformats.org/officeDocument/2006/relationships/hyperlink" Target="https://www.linkedin.com/in/shweta-malik-2a347a21/" TargetMode="External"/><Relationship Id="rId112" Type="http://schemas.openxmlformats.org/officeDocument/2006/relationships/hyperlink" Target="https://www.linkedin.com/in/sreenunair/" TargetMode="External"/><Relationship Id="rId233" Type="http://schemas.openxmlformats.org/officeDocument/2006/relationships/hyperlink" Target="https://www.linkedin.com/in/ramdas-nayak-47b441b/" TargetMode="External"/><Relationship Id="rId111" Type="http://schemas.openxmlformats.org/officeDocument/2006/relationships/hyperlink" Target="https://www.linkedin.com/in/sunilmaddika/" TargetMode="External"/><Relationship Id="rId232" Type="http://schemas.openxmlformats.org/officeDocument/2006/relationships/hyperlink" Target="https://www.linkedin.com/in/sandhya-manjunath-b0364951/" TargetMode="External"/><Relationship Id="rId206" Type="http://schemas.openxmlformats.org/officeDocument/2006/relationships/hyperlink" Target="https://www.linkedin.com/in/karanhiringleaderyaxa/" TargetMode="External"/><Relationship Id="rId205" Type="http://schemas.openxmlformats.org/officeDocument/2006/relationships/hyperlink" Target="https://www.linkedin.com/in/sunisthasingh/" TargetMode="External"/><Relationship Id="rId204" Type="http://schemas.openxmlformats.org/officeDocument/2006/relationships/hyperlink" Target="https://www.linkedin.com/in/sunil-joice-90b43b6/" TargetMode="External"/><Relationship Id="rId203" Type="http://schemas.openxmlformats.org/officeDocument/2006/relationships/hyperlink" Target="https://www.linkedin.com/in/lakshmijayaprakash/" TargetMode="External"/><Relationship Id="rId209" Type="http://schemas.openxmlformats.org/officeDocument/2006/relationships/hyperlink" Target="https://www.linkedin.com/in/akshatgupta1/" TargetMode="External"/><Relationship Id="rId208" Type="http://schemas.openxmlformats.org/officeDocument/2006/relationships/hyperlink" Target="https://www.linkedin.com/in/sutapa-banerjee-she-her-8ba69b1a/" TargetMode="External"/><Relationship Id="rId207" Type="http://schemas.openxmlformats.org/officeDocument/2006/relationships/hyperlink" Target="https://www.linkedin.com/in/mmssiva/" TargetMode="External"/><Relationship Id="rId202" Type="http://schemas.openxmlformats.org/officeDocument/2006/relationships/hyperlink" Target="https://www.linkedin.com/in/lokeshkariappa/" TargetMode="External"/><Relationship Id="rId201" Type="http://schemas.openxmlformats.org/officeDocument/2006/relationships/hyperlink" Target="https://www.linkedin.com/in/guljeet-gul-bakshi-a5915711/" TargetMode="External"/><Relationship Id="rId200" Type="http://schemas.openxmlformats.org/officeDocument/2006/relationships/hyperlink" Target="https://www.linkedin.com/in/shyam-krishnan-b-52ab2624?originalSubdomain=in"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linkedin.com/in/lokendra-sethi-267a314/" TargetMode="External"/><Relationship Id="rId42" Type="http://schemas.openxmlformats.org/officeDocument/2006/relationships/hyperlink" Target="https://www.linkedin.com/in/seetha-rani-kp-1b2974/" TargetMode="External"/><Relationship Id="rId41" Type="http://schemas.openxmlformats.org/officeDocument/2006/relationships/hyperlink" Target="https://www.linkedin.com/in/ankita-agrawal-751b4a30/" TargetMode="External"/><Relationship Id="rId44" Type="http://schemas.openxmlformats.org/officeDocument/2006/relationships/hyperlink" Target="https://www.linkedin.com/in/santoshthangavelu/" TargetMode="External"/><Relationship Id="rId43" Type="http://schemas.openxmlformats.org/officeDocument/2006/relationships/hyperlink" Target="https://www.linkedin.com/in/tina-vas-8455b37/" TargetMode="External"/><Relationship Id="rId46" Type="http://schemas.openxmlformats.org/officeDocument/2006/relationships/hyperlink" Target="https://www.linkedin.com/in/somnathbaishya/" TargetMode="External"/><Relationship Id="rId45" Type="http://schemas.openxmlformats.org/officeDocument/2006/relationships/hyperlink" Target="https://www.linkedin.com/in/pratibha-priyadarshini-61a058b/" TargetMode="External"/><Relationship Id="rId48" Type="http://schemas.openxmlformats.org/officeDocument/2006/relationships/hyperlink" Target="https://www.linkedin.com/in/bindu-sugunan-7b46508/" TargetMode="External"/><Relationship Id="rId47" Type="http://schemas.openxmlformats.org/officeDocument/2006/relationships/hyperlink" Target="https://www.linkedin.com/in/pankaj-thukral-07909739/" TargetMode="External"/><Relationship Id="rId49" Type="http://schemas.openxmlformats.org/officeDocument/2006/relationships/hyperlink" Target="https://www.linkedin.com/in/pavan-hogade-0b94b1a/" TargetMode="External"/><Relationship Id="rId31" Type="http://schemas.openxmlformats.org/officeDocument/2006/relationships/hyperlink" Target="https://www.linkedin.com/in/sameernandan/" TargetMode="External"/><Relationship Id="rId30" Type="http://schemas.openxmlformats.org/officeDocument/2006/relationships/hyperlink" Target="https://www.linkedin.com/in/vithal-acharya-2651618/" TargetMode="External"/><Relationship Id="rId33" Type="http://schemas.openxmlformats.org/officeDocument/2006/relationships/hyperlink" Target="https://www.linkedin.com/in/meena-kumari-r1983/" TargetMode="External"/><Relationship Id="rId32" Type="http://schemas.openxmlformats.org/officeDocument/2006/relationships/hyperlink" Target="https://www.linkedin.com/in/prasad-menon-b68b526/" TargetMode="External"/><Relationship Id="rId182" Type="http://schemas.openxmlformats.org/officeDocument/2006/relationships/drawing" Target="../drawings/drawing2.xml"/><Relationship Id="rId35" Type="http://schemas.openxmlformats.org/officeDocument/2006/relationships/hyperlink" Target="https://www.linkedin.com/in/shubhayu-sengupta-6b44887/" TargetMode="External"/><Relationship Id="rId181" Type="http://schemas.openxmlformats.org/officeDocument/2006/relationships/hyperlink" Target="http://yellow.ai" TargetMode="External"/><Relationship Id="rId34" Type="http://schemas.openxmlformats.org/officeDocument/2006/relationships/hyperlink" Target="https://www.linkedin.com/in/kvsatheesh/?skipRedirect=true" TargetMode="External"/><Relationship Id="rId180" Type="http://schemas.openxmlformats.org/officeDocument/2006/relationships/hyperlink" Target="https://www.linkedin.com/in/madhavilall/overlay/about-this-profile/" TargetMode="External"/><Relationship Id="rId37" Type="http://schemas.openxmlformats.org/officeDocument/2006/relationships/hyperlink" Target="https://www.linkedin.com/in/saraswathi23/" TargetMode="External"/><Relationship Id="rId176" Type="http://schemas.openxmlformats.org/officeDocument/2006/relationships/hyperlink" Target="https://www.linkedin.com/in/husnaa-b-613100146/overlay/about-this-profile/" TargetMode="External"/><Relationship Id="rId36" Type="http://schemas.openxmlformats.org/officeDocument/2006/relationships/hyperlink" Target="https://www.linkedin.com/in/mathewanu/" TargetMode="External"/><Relationship Id="rId175" Type="http://schemas.openxmlformats.org/officeDocument/2006/relationships/hyperlink" Target="https://www.linkedin.com/in/malliga-rajkumar-4b42b98/overlay/about-this-profile/" TargetMode="External"/><Relationship Id="rId39" Type="http://schemas.openxmlformats.org/officeDocument/2006/relationships/hyperlink" Target="https://www.linkedin.com/in/anishphilip1999/" TargetMode="External"/><Relationship Id="rId174" Type="http://schemas.openxmlformats.org/officeDocument/2006/relationships/hyperlink" Target="https://www.linkedin.com/in/aadit-palicha/overlay/about-this-profile/" TargetMode="External"/><Relationship Id="rId38" Type="http://schemas.openxmlformats.org/officeDocument/2006/relationships/hyperlink" Target="https://www.linkedin.com/in/smriti-goel-3411905/" TargetMode="External"/><Relationship Id="rId173" Type="http://schemas.openxmlformats.org/officeDocument/2006/relationships/hyperlink" Target="https://www.linkedin.com/in/shweta-mohanty-89a74b11/overlay/about-this-profile/" TargetMode="External"/><Relationship Id="rId179" Type="http://schemas.openxmlformats.org/officeDocument/2006/relationships/hyperlink" Target="https://www.linkedin.com/in/savitha99/overlay/about-this-profile/" TargetMode="External"/><Relationship Id="rId178" Type="http://schemas.openxmlformats.org/officeDocument/2006/relationships/hyperlink" Target="https://www.linkedin.com/in/indu-kapoor-7b060b5/overlay/about-this-profile/" TargetMode="External"/><Relationship Id="rId177" Type="http://schemas.openxmlformats.org/officeDocument/2006/relationships/hyperlink" Target="https://www.linkedin.com/in/vivek-ranjan-771878/overlay/about-this-profile/" TargetMode="External"/><Relationship Id="rId20" Type="http://schemas.openxmlformats.org/officeDocument/2006/relationships/hyperlink" Target="https://www.linkedin.com/in/pbaner/" TargetMode="External"/><Relationship Id="rId22" Type="http://schemas.openxmlformats.org/officeDocument/2006/relationships/hyperlink" Target="https://www.linkedin.com/in/kavitakurup/" TargetMode="External"/><Relationship Id="rId21" Type="http://schemas.openxmlformats.org/officeDocument/2006/relationships/hyperlink" Target="https://www.linkedin.com/in/anjaliraghuvanshi/" TargetMode="External"/><Relationship Id="rId24" Type="http://schemas.openxmlformats.org/officeDocument/2006/relationships/hyperlink" Target="https://www.linkedin.com/in/mamitab/" TargetMode="External"/><Relationship Id="rId23" Type="http://schemas.openxmlformats.org/officeDocument/2006/relationships/hyperlink" Target="https://www.linkedin.com/in/sonali-de-sarker-b946a93/" TargetMode="External"/><Relationship Id="rId26" Type="http://schemas.openxmlformats.org/officeDocument/2006/relationships/hyperlink" Target="https://www.linkedin.com/in/divaker-p-31469015/" TargetMode="External"/><Relationship Id="rId25" Type="http://schemas.openxmlformats.org/officeDocument/2006/relationships/hyperlink" Target="https://www.linkedin.com/in/naveen-narayanan-06797958/" TargetMode="External"/><Relationship Id="rId28" Type="http://schemas.openxmlformats.org/officeDocument/2006/relationships/hyperlink" Target="https://www.linkedin.com/in/bhuvan/" TargetMode="External"/><Relationship Id="rId27" Type="http://schemas.openxmlformats.org/officeDocument/2006/relationships/hyperlink" Target="https://www.linkedin.com/in/loborichard/" TargetMode="External"/><Relationship Id="rId29" Type="http://schemas.openxmlformats.org/officeDocument/2006/relationships/hyperlink" Target="https://www.linkedin.com/in/dhirendranath/" TargetMode="External"/><Relationship Id="rId11" Type="http://schemas.openxmlformats.org/officeDocument/2006/relationships/hyperlink" Target="https://www.linkedin.com/in/govindrajmarath/" TargetMode="External"/><Relationship Id="rId10" Type="http://schemas.openxmlformats.org/officeDocument/2006/relationships/hyperlink" Target="https://www.linkedin.com/in/niharika-mohan-94118723/" TargetMode="External"/><Relationship Id="rId13" Type="http://schemas.openxmlformats.org/officeDocument/2006/relationships/hyperlink" Target="https://www.linkedin.com/in/mitalee/" TargetMode="External"/><Relationship Id="rId12" Type="http://schemas.openxmlformats.org/officeDocument/2006/relationships/hyperlink" Target="https://www.linkedin.com/in/majidak/" TargetMode="External"/><Relationship Id="rId15" Type="http://schemas.openxmlformats.org/officeDocument/2006/relationships/hyperlink" Target="https://www.linkedin.com/in/shreya-bhagwanth-ab8b4314/" TargetMode="External"/><Relationship Id="rId14" Type="http://schemas.openxmlformats.org/officeDocument/2006/relationships/hyperlink" Target="https://www.linkedin.com/in/shefalirai/" TargetMode="External"/><Relationship Id="rId17" Type="http://schemas.openxmlformats.org/officeDocument/2006/relationships/hyperlink" Target="https://www.linkedin.com/in/raj-basavraj-v-m-753b601/" TargetMode="External"/><Relationship Id="rId16" Type="http://schemas.openxmlformats.org/officeDocument/2006/relationships/hyperlink" Target="https://www.linkedin.com/in/aparnasrivastava/" TargetMode="External"/><Relationship Id="rId19" Type="http://schemas.openxmlformats.org/officeDocument/2006/relationships/hyperlink" Target="https://www.linkedin.com/in/munjalrohit/" TargetMode="External"/><Relationship Id="rId18" Type="http://schemas.openxmlformats.org/officeDocument/2006/relationships/hyperlink" Target="https://www.linkedin.com/in/sreekumarkadavath/" TargetMode="External"/><Relationship Id="rId84" Type="http://schemas.openxmlformats.org/officeDocument/2006/relationships/hyperlink" Target="https://www.linkedin.com/in/premv/" TargetMode="External"/><Relationship Id="rId83" Type="http://schemas.openxmlformats.org/officeDocument/2006/relationships/hyperlink" Target="https://www.linkedin.com/in/saumarjyoti/" TargetMode="External"/><Relationship Id="rId86" Type="http://schemas.openxmlformats.org/officeDocument/2006/relationships/hyperlink" Target="https://www.linkedin.com/in/rajagopalan-s-66058a6/" TargetMode="External"/><Relationship Id="rId85" Type="http://schemas.openxmlformats.org/officeDocument/2006/relationships/hyperlink" Target="https://www.linkedin.com/in/hemabyrappa/" TargetMode="External"/><Relationship Id="rId88" Type="http://schemas.openxmlformats.org/officeDocument/2006/relationships/hyperlink" Target="https://www.linkedin.com/in/pradnyakulkarni/" TargetMode="External"/><Relationship Id="rId150" Type="http://schemas.openxmlformats.org/officeDocument/2006/relationships/hyperlink" Target="https://www.linkedin.com/in/veena-bansal-75176112a/overlay/about-this-profile/" TargetMode="External"/><Relationship Id="rId87" Type="http://schemas.openxmlformats.org/officeDocument/2006/relationships/hyperlink" Target="https://www.linkedin.com/in/kameshwari-rao-she-her-218524b/" TargetMode="External"/><Relationship Id="rId89" Type="http://schemas.openxmlformats.org/officeDocument/2006/relationships/hyperlink" Target="https://www.linkedin.com/in/prathimaprabhu/" TargetMode="External"/><Relationship Id="rId80" Type="http://schemas.openxmlformats.org/officeDocument/2006/relationships/hyperlink" Target="https://www.linkedin.com/in/ujalasabharwal" TargetMode="External"/><Relationship Id="rId82" Type="http://schemas.openxmlformats.org/officeDocument/2006/relationships/hyperlink" Target="https://www.linkedin.com/in/rajarshi-choudhury-0860392a/" TargetMode="External"/><Relationship Id="rId81" Type="http://schemas.openxmlformats.org/officeDocument/2006/relationships/hyperlink" Target="https://www.linkedin.com/in/humera-iffath-0368203/?skipRedirect=true" TargetMode="External"/><Relationship Id="rId1" Type="http://schemas.openxmlformats.org/officeDocument/2006/relationships/hyperlink" Target="https://www.linkedin.com/in/ayaskant-sarangi-79179314/" TargetMode="External"/><Relationship Id="rId2" Type="http://schemas.openxmlformats.org/officeDocument/2006/relationships/hyperlink" Target="https://www.linkedin.com/in/maninder-kapoor-puri/" TargetMode="External"/><Relationship Id="rId3" Type="http://schemas.openxmlformats.org/officeDocument/2006/relationships/hyperlink" Target="https://www.linkedin.com/in/remadevi-thottathil-8939a515/" TargetMode="External"/><Relationship Id="rId149" Type="http://schemas.openxmlformats.org/officeDocument/2006/relationships/hyperlink" Target="https://www.linkedin.com/in/ritu-kumar-6314687/overlay/about-this-profile/" TargetMode="External"/><Relationship Id="rId4" Type="http://schemas.openxmlformats.org/officeDocument/2006/relationships/hyperlink" Target="https://www.linkedin.com/in/sumanthnayak/" TargetMode="External"/><Relationship Id="rId148" Type="http://schemas.openxmlformats.org/officeDocument/2006/relationships/hyperlink" Target="https://www.linkedin.com/in/viekas-k-khokha-hrleader/overlay/about-this-profile/" TargetMode="External"/><Relationship Id="rId9" Type="http://schemas.openxmlformats.org/officeDocument/2006/relationships/hyperlink" Target="https://www.linkedin.com/in/srikanthvachaspati/" TargetMode="External"/><Relationship Id="rId143" Type="http://schemas.openxmlformats.org/officeDocument/2006/relationships/hyperlink" Target="https://www.linkedin.com/in/sandeep-g-4032195/overlay/about-this-profile/" TargetMode="External"/><Relationship Id="rId142" Type="http://schemas.openxmlformats.org/officeDocument/2006/relationships/hyperlink" Target="https://www.linkedin.com/in/sukhjitpasricha/overlay/about-this-profile/" TargetMode="External"/><Relationship Id="rId141" Type="http://schemas.openxmlformats.org/officeDocument/2006/relationships/hyperlink" Target="https://www.linkedin.com/in/jainstein86/overlay/about-this-profile/" TargetMode="External"/><Relationship Id="rId140" Type="http://schemas.openxmlformats.org/officeDocument/2006/relationships/hyperlink" Target="https://www.linkedin.com/in/girish-kohli/overlay/about-this-profile/" TargetMode="External"/><Relationship Id="rId5" Type="http://schemas.openxmlformats.org/officeDocument/2006/relationships/hyperlink" Target="https://www.linkedin.com/in/abhishek77" TargetMode="External"/><Relationship Id="rId147" Type="http://schemas.openxmlformats.org/officeDocument/2006/relationships/hyperlink" Target="https://www.linkedin.com/in/rohitvgupta/overlay/about-this-profile/" TargetMode="External"/><Relationship Id="rId6" Type="http://schemas.openxmlformats.org/officeDocument/2006/relationships/hyperlink" Target="https://www.linkedin.com/in/aparna2/" TargetMode="External"/><Relationship Id="rId146" Type="http://schemas.openxmlformats.org/officeDocument/2006/relationships/hyperlink" Target="https://www.linkedin.com/in/avishek-roy-61a5807/overlay/about-this-profile/" TargetMode="External"/><Relationship Id="rId7" Type="http://schemas.openxmlformats.org/officeDocument/2006/relationships/hyperlink" Target="https://www.linkedin.com/in/priya-cherian-a461683/" TargetMode="External"/><Relationship Id="rId145" Type="http://schemas.openxmlformats.org/officeDocument/2006/relationships/hyperlink" Target="https://www.linkedin.com/in/ayush-gupta-hfima-55321014/overlay/about-this-profile/" TargetMode="External"/><Relationship Id="rId8" Type="http://schemas.openxmlformats.org/officeDocument/2006/relationships/hyperlink" Target="https://www.linkedin.com/in/vidyamunirathnam/" TargetMode="External"/><Relationship Id="rId144" Type="http://schemas.openxmlformats.org/officeDocument/2006/relationships/hyperlink" Target="https://www.linkedin.com/in/ayaskant-sarangi-79179314/overlay/about-this-profile/" TargetMode="External"/><Relationship Id="rId73" Type="http://schemas.openxmlformats.org/officeDocument/2006/relationships/hyperlink" Target="https://www.linkedin.com/in/suhasroshan/" TargetMode="External"/><Relationship Id="rId72" Type="http://schemas.openxmlformats.org/officeDocument/2006/relationships/hyperlink" Target="https://www.linkedin.com/in/rajuul/" TargetMode="External"/><Relationship Id="rId75" Type="http://schemas.openxmlformats.org/officeDocument/2006/relationships/hyperlink" Target="https://www.linkedin.com/in/saileshmenezes/" TargetMode="External"/><Relationship Id="rId74" Type="http://schemas.openxmlformats.org/officeDocument/2006/relationships/hyperlink" Target="https://www.linkedin.com/in/amit-kumar-das-6142625/" TargetMode="External"/><Relationship Id="rId77" Type="http://schemas.openxmlformats.org/officeDocument/2006/relationships/hyperlink" Target="https://www.linkedin.com/in/shikha-agarwal-b7237715/" TargetMode="External"/><Relationship Id="rId76" Type="http://schemas.openxmlformats.org/officeDocument/2006/relationships/hyperlink" Target="https://www.linkedin.com/in/divya-pandey-611aa47/" TargetMode="External"/><Relationship Id="rId79" Type="http://schemas.openxmlformats.org/officeDocument/2006/relationships/hyperlink" Target="https://www.linkedin.com/in/meena-lokesh-62a680176/" TargetMode="External"/><Relationship Id="rId78" Type="http://schemas.openxmlformats.org/officeDocument/2006/relationships/hyperlink" Target="https://www.linkedin.com/in/rameshbusavalla/" TargetMode="External"/><Relationship Id="rId71" Type="http://schemas.openxmlformats.org/officeDocument/2006/relationships/hyperlink" Target="https://www.linkedin.com/in/surabhi-sheshadri/" TargetMode="External"/><Relationship Id="rId70" Type="http://schemas.openxmlformats.org/officeDocument/2006/relationships/hyperlink" Target="https://www.linkedin.com/in/guruchrangandhi/" TargetMode="External"/><Relationship Id="rId139" Type="http://schemas.openxmlformats.org/officeDocument/2006/relationships/hyperlink" Target="https://www.linkedin.com/in/arjitmehrotra/overlay/about-this-profile/" TargetMode="External"/><Relationship Id="rId138" Type="http://schemas.openxmlformats.org/officeDocument/2006/relationships/hyperlink" Target="https://www.linkedin.com/in/deeptivij/overlay/about-this-profile/" TargetMode="External"/><Relationship Id="rId137" Type="http://schemas.openxmlformats.org/officeDocument/2006/relationships/hyperlink" Target="https://www.linkedin.com/in/abhishek77/overlay/about-this-profile/" TargetMode="External"/><Relationship Id="rId132" Type="http://schemas.openxmlformats.org/officeDocument/2006/relationships/hyperlink" Target="https://www.linkedin.com/in/prateekrc/overlay/about-this-profile/" TargetMode="External"/><Relationship Id="rId131" Type="http://schemas.openxmlformats.org/officeDocument/2006/relationships/hyperlink" Target="https://www.linkedin.com/in/maneesh-menda-1b40ab20/overlay/about-this-profile/" TargetMode="External"/><Relationship Id="rId130" Type="http://schemas.openxmlformats.org/officeDocument/2006/relationships/hyperlink" Target="https://www.linkedin.com/in/kashmira-pawar-a8992a20/overlay/about-this-profile/" TargetMode="External"/><Relationship Id="rId136" Type="http://schemas.openxmlformats.org/officeDocument/2006/relationships/hyperlink" Target="https://www.linkedin.com/in/varmadeepti/overlay/about-this-profile/" TargetMode="External"/><Relationship Id="rId135" Type="http://schemas.openxmlformats.org/officeDocument/2006/relationships/hyperlink" Target="https://www.linkedin.com/in/vikramjeet-singh-545100a/overlay/about-this-profile/" TargetMode="External"/><Relationship Id="rId134" Type="http://schemas.openxmlformats.org/officeDocument/2006/relationships/hyperlink" Target="https://www.linkedin.com/in/sandeepbatra1/overlay/about-this-profile/" TargetMode="External"/><Relationship Id="rId133" Type="http://schemas.openxmlformats.org/officeDocument/2006/relationships/hyperlink" Target="https://www.linkedin.com/in/chaturvedivaibhav/overlay/about-this-profile/" TargetMode="External"/><Relationship Id="rId62" Type="http://schemas.openxmlformats.org/officeDocument/2006/relationships/hyperlink" Target="https://www.linkedin.com/in/akanksha-rana-8b9a31116/" TargetMode="External"/><Relationship Id="rId61" Type="http://schemas.openxmlformats.org/officeDocument/2006/relationships/hyperlink" Target="https://www.linkedin.com/in/nitishbharadwaz/" TargetMode="External"/><Relationship Id="rId64" Type="http://schemas.openxmlformats.org/officeDocument/2006/relationships/hyperlink" Target="https://www.linkedin.com/in/yashmohan/" TargetMode="External"/><Relationship Id="rId63" Type="http://schemas.openxmlformats.org/officeDocument/2006/relationships/hyperlink" Target="https://www.linkedin.com/in/tanmay-rao-722b692b1/" TargetMode="External"/><Relationship Id="rId66" Type="http://schemas.openxmlformats.org/officeDocument/2006/relationships/hyperlink" Target="https://www.linkedin.com/in/shweta-mohanty-89a74b11/" TargetMode="External"/><Relationship Id="rId172" Type="http://schemas.openxmlformats.org/officeDocument/2006/relationships/hyperlink" Target="https://www.linkedin.com/in/rpradeepiyer/overlay/about-this-profile/" TargetMode="External"/><Relationship Id="rId65" Type="http://schemas.openxmlformats.org/officeDocument/2006/relationships/hyperlink" Target="https://www.linkedin.com/in/swadeshbehera/" TargetMode="External"/><Relationship Id="rId171" Type="http://schemas.openxmlformats.org/officeDocument/2006/relationships/hyperlink" Target="https://www.linkedin.com/in/riti-singh-5142a613/overlay/about-this-profile/" TargetMode="External"/><Relationship Id="rId68" Type="http://schemas.openxmlformats.org/officeDocument/2006/relationships/hyperlink" Target="https://www.linkedin.com/in/vijay-manjeshwar-88964b5/" TargetMode="External"/><Relationship Id="rId170" Type="http://schemas.openxmlformats.org/officeDocument/2006/relationships/hyperlink" Target="https://www.linkedin.com/in/viji-swaminathan-42443b5/overlay/about-this-profile/" TargetMode="External"/><Relationship Id="rId67" Type="http://schemas.openxmlformats.org/officeDocument/2006/relationships/hyperlink" Target="https://www.linkedin.com/in/annapurna-1a41783b/" TargetMode="External"/><Relationship Id="rId60" Type="http://schemas.openxmlformats.org/officeDocument/2006/relationships/hyperlink" Target="https://www.linkedin.com/in/smithakrishnamurthy/" TargetMode="External"/><Relationship Id="rId165" Type="http://schemas.openxmlformats.org/officeDocument/2006/relationships/hyperlink" Target="https://www.linkedin.com/in/ashish-kumar-singh-8224279/overlay/about-this-profile/" TargetMode="External"/><Relationship Id="rId69" Type="http://schemas.openxmlformats.org/officeDocument/2006/relationships/hyperlink" Target="https://www.linkedin.com/in/vaibhav-srivastava-15a06b13/" TargetMode="External"/><Relationship Id="rId164" Type="http://schemas.openxmlformats.org/officeDocument/2006/relationships/hyperlink" Target="https://www.linkedin.com/in/madhuri-mehta-17a7553/overlay/about-this-profile/" TargetMode="External"/><Relationship Id="rId163" Type="http://schemas.openxmlformats.org/officeDocument/2006/relationships/hyperlink" Target="https://www.linkedin.com/in/devika-tandon-527a6a5/overlay/about-this-profile/" TargetMode="External"/><Relationship Id="rId162" Type="http://schemas.openxmlformats.org/officeDocument/2006/relationships/hyperlink" Target="https://www.linkedin.com/in/rohit-chaudhri-61b24613/overlay/about-this-profile/" TargetMode="External"/><Relationship Id="rId169" Type="http://schemas.openxmlformats.org/officeDocument/2006/relationships/hyperlink" Target="https://www.linkedin.com/in/arppna-mehra-6bb4311/overlay/about-this-profile/" TargetMode="External"/><Relationship Id="rId168" Type="http://schemas.openxmlformats.org/officeDocument/2006/relationships/hyperlink" Target="https://www.linkedin.com/in/neetika-bhatia-8305576/overlay/about-this-profile/" TargetMode="External"/><Relationship Id="rId167" Type="http://schemas.openxmlformats.org/officeDocument/2006/relationships/hyperlink" Target="https://www.linkedin.com/in/anjaliraghuvanshi/overlay/about-this-profile/" TargetMode="External"/><Relationship Id="rId166" Type="http://schemas.openxmlformats.org/officeDocument/2006/relationships/hyperlink" Target="https://www.linkedin.com/in/shraddhanjalirao/overlay/about-this-profile/" TargetMode="External"/><Relationship Id="rId51" Type="http://schemas.openxmlformats.org/officeDocument/2006/relationships/hyperlink" Target="https://www.linkedin.com/in/harshavardhan-kundalkar-87355b35/" TargetMode="External"/><Relationship Id="rId50" Type="http://schemas.openxmlformats.org/officeDocument/2006/relationships/hyperlink" Target="https://www.linkedin.com/in/nisha-srinivasan/" TargetMode="External"/><Relationship Id="rId53" Type="http://schemas.openxmlformats.org/officeDocument/2006/relationships/hyperlink" Target="https://www.linkedin.com/in/supriya-sharma-8324864/" TargetMode="External"/><Relationship Id="rId52" Type="http://schemas.openxmlformats.org/officeDocument/2006/relationships/hyperlink" Target="https://www.linkedin.com/in/richa-sinha-956b1112/" TargetMode="External"/><Relationship Id="rId55" Type="http://schemas.openxmlformats.org/officeDocument/2006/relationships/hyperlink" Target="https://www.linkedin.com/in/riiturajindia/" TargetMode="External"/><Relationship Id="rId161" Type="http://schemas.openxmlformats.org/officeDocument/2006/relationships/hyperlink" Target="https://www.linkedin.com/in/seepikasinghal/overlay/about-this-profile/" TargetMode="External"/><Relationship Id="rId54" Type="http://schemas.openxmlformats.org/officeDocument/2006/relationships/hyperlink" Target="https://www.linkedin.com/in/harshika-khatri-781a1010b/" TargetMode="External"/><Relationship Id="rId160" Type="http://schemas.openxmlformats.org/officeDocument/2006/relationships/hyperlink" Target="https://www.linkedin.com/in/akanksha-choudhary-a80533106/overlay/about-this-profile/" TargetMode="External"/><Relationship Id="rId57" Type="http://schemas.openxmlformats.org/officeDocument/2006/relationships/hyperlink" Target="https://www.linkedin.com/in/parulthakur/" TargetMode="External"/><Relationship Id="rId56" Type="http://schemas.openxmlformats.org/officeDocument/2006/relationships/hyperlink" Target="https://www.linkedin.com/in/jharna-thammaiah-1105058b/" TargetMode="External"/><Relationship Id="rId159" Type="http://schemas.openxmlformats.org/officeDocument/2006/relationships/hyperlink" Target="https://www.linkedin.com/in/abhijitsrao/overlay/about-this-profile/" TargetMode="External"/><Relationship Id="rId59" Type="http://schemas.openxmlformats.org/officeDocument/2006/relationships/hyperlink" Target="https://www.linkedin.com/in/shreeramvarahan/" TargetMode="External"/><Relationship Id="rId154" Type="http://schemas.openxmlformats.org/officeDocument/2006/relationships/hyperlink" Target="https://www.linkedin.com/in/paraskaushik/overlay/about-this-profile/" TargetMode="External"/><Relationship Id="rId58" Type="http://schemas.openxmlformats.org/officeDocument/2006/relationships/hyperlink" Target="https://www.linkedin.com/in/seema-unni-b76b38/" TargetMode="External"/><Relationship Id="rId153" Type="http://schemas.openxmlformats.org/officeDocument/2006/relationships/hyperlink" Target="https://www.linkedin.com/in/vimmi-chachra-481352/overlay/about-this-profile/" TargetMode="External"/><Relationship Id="rId152" Type="http://schemas.openxmlformats.org/officeDocument/2006/relationships/hyperlink" Target="https://www.linkedin.com/in/pooja-malik1111/overlay/about-this-profile/" TargetMode="External"/><Relationship Id="rId151" Type="http://schemas.openxmlformats.org/officeDocument/2006/relationships/hyperlink" Target="https://www.linkedin.com/in/suvarnamishra/overlay/about-this-profile/" TargetMode="External"/><Relationship Id="rId158" Type="http://schemas.openxmlformats.org/officeDocument/2006/relationships/hyperlink" Target="https://www.linkedin.com/in/vidyamunirathnam/overlay/about-this-profile/" TargetMode="External"/><Relationship Id="rId157" Type="http://schemas.openxmlformats.org/officeDocument/2006/relationships/hyperlink" Target="https://www.linkedin.com/company/8641/" TargetMode="External"/><Relationship Id="rId156" Type="http://schemas.openxmlformats.org/officeDocument/2006/relationships/hyperlink" Target="https://www.linkedin.com/in/debasis-sarkar-168265b/overlay/about-this-profile/" TargetMode="External"/><Relationship Id="rId155" Type="http://schemas.openxmlformats.org/officeDocument/2006/relationships/hyperlink" Target="https://www.linkedin.com/in/swatikhandelwal/overlay/about-this-profile/" TargetMode="External"/><Relationship Id="rId107" Type="http://schemas.openxmlformats.org/officeDocument/2006/relationships/hyperlink" Target="https://www.linkedin.com/in/subeer-bakshi-a141403/" TargetMode="External"/><Relationship Id="rId106" Type="http://schemas.openxmlformats.org/officeDocument/2006/relationships/hyperlink" Target="https://www.linkedin.com/in/chetanyadav/" TargetMode="External"/><Relationship Id="rId105" Type="http://schemas.openxmlformats.org/officeDocument/2006/relationships/hyperlink" Target="https://www.linkedin.com/in/supriyasudhakaran/" TargetMode="External"/><Relationship Id="rId104" Type="http://schemas.openxmlformats.org/officeDocument/2006/relationships/hyperlink" Target="https://www.linkedin.com/in/akshay-jindal/" TargetMode="External"/><Relationship Id="rId109" Type="http://schemas.openxmlformats.org/officeDocument/2006/relationships/hyperlink" Target="https://www.linkedin.com/in/seemanair1/" TargetMode="External"/><Relationship Id="rId108" Type="http://schemas.openxmlformats.org/officeDocument/2006/relationships/hyperlink" Target="https://www.linkedin.com/in/viji-swaminathan-42443b5/?skipRedirect=true" TargetMode="External"/><Relationship Id="rId103" Type="http://schemas.openxmlformats.org/officeDocument/2006/relationships/hyperlink" Target="https://www.linkedin.com/in/anu-r-dr-anuradha-rao-8919a912/" TargetMode="External"/><Relationship Id="rId102" Type="http://schemas.openxmlformats.org/officeDocument/2006/relationships/hyperlink" Target="https://www.linkedin.com/in/yashpalsinghtatrws/" TargetMode="External"/><Relationship Id="rId101" Type="http://schemas.openxmlformats.org/officeDocument/2006/relationships/hyperlink" Target="https://www.linkedin.com/in/syedibrahim786/" TargetMode="External"/><Relationship Id="rId100" Type="http://schemas.openxmlformats.org/officeDocument/2006/relationships/hyperlink" Target="http://actyv.ai" TargetMode="External"/><Relationship Id="rId129" Type="http://schemas.openxmlformats.org/officeDocument/2006/relationships/hyperlink" Target="https://www.linkedin.com/in/shrutiwalia1/overlay/about-this-profile/" TargetMode="External"/><Relationship Id="rId128" Type="http://schemas.openxmlformats.org/officeDocument/2006/relationships/hyperlink" Target="https://www.linkedin.com/in/jaspreet-bakshi/overlay/about-this-profile/" TargetMode="External"/><Relationship Id="rId127" Type="http://schemas.openxmlformats.org/officeDocument/2006/relationships/hyperlink" Target="https://www.linkedin.com/in/jaikrishna-b-hr/overlay/about-this-profile/" TargetMode="External"/><Relationship Id="rId126" Type="http://schemas.openxmlformats.org/officeDocument/2006/relationships/hyperlink" Target="https://www.linkedin.com/in/pavan-kumar-7889968/" TargetMode="External"/><Relationship Id="rId121" Type="http://schemas.openxmlformats.org/officeDocument/2006/relationships/hyperlink" Target="https://www.linkedin.com/in/ramit-james-ash-4716b641/" TargetMode="External"/><Relationship Id="rId120" Type="http://schemas.openxmlformats.org/officeDocument/2006/relationships/hyperlink" Target="https://www.linkedin.com/in/vanitha-v-b465305/" TargetMode="External"/><Relationship Id="rId125" Type="http://schemas.openxmlformats.org/officeDocument/2006/relationships/hyperlink" Target="https://www.linkedin.com/in/gerald-santosh-26469363/" TargetMode="External"/><Relationship Id="rId124" Type="http://schemas.openxmlformats.org/officeDocument/2006/relationships/hyperlink" Target="https://www.linkedin.com/in/vijayalekshmi-p-70976623/" TargetMode="External"/><Relationship Id="rId123" Type="http://schemas.openxmlformats.org/officeDocument/2006/relationships/hyperlink" Target="https://www.linkedin.com/in/nishant-chaturvedi-801364283/?skipRedirect=true" TargetMode="External"/><Relationship Id="rId122" Type="http://schemas.openxmlformats.org/officeDocument/2006/relationships/hyperlink" Target="https://www.linkedin.com/in/savitha-k-r-2b3a984/" TargetMode="External"/><Relationship Id="rId95" Type="http://schemas.openxmlformats.org/officeDocument/2006/relationships/hyperlink" Target="https://www.linkedin.com/in/gayathri-subramanian-5055923/" TargetMode="External"/><Relationship Id="rId94" Type="http://schemas.openxmlformats.org/officeDocument/2006/relationships/hyperlink" Target="https://www.linkedin.com/in/veenasatish/" TargetMode="External"/><Relationship Id="rId97" Type="http://schemas.openxmlformats.org/officeDocument/2006/relationships/hyperlink" Target="https://www.linkedin.com/in/monikagunalan/" TargetMode="External"/><Relationship Id="rId96" Type="http://schemas.openxmlformats.org/officeDocument/2006/relationships/hyperlink" Target="https://www.linkedin.com/in/rohit-sandal-58bb423/" TargetMode="External"/><Relationship Id="rId99" Type="http://schemas.openxmlformats.org/officeDocument/2006/relationships/hyperlink" Target="https://www.linkedin.com/in/preeti-taunk-a4366858/" TargetMode="External"/><Relationship Id="rId98" Type="http://schemas.openxmlformats.org/officeDocument/2006/relationships/hyperlink" Target="https://www.linkedin.com/in/gauravbali333/" TargetMode="External"/><Relationship Id="rId91" Type="http://schemas.openxmlformats.org/officeDocument/2006/relationships/hyperlink" Target="https://www.linkedin.com/in/somnath-dey911/" TargetMode="External"/><Relationship Id="rId90" Type="http://schemas.openxmlformats.org/officeDocument/2006/relationships/hyperlink" Target="https://www.linkedin.com/in/nairrekha/" TargetMode="External"/><Relationship Id="rId93" Type="http://schemas.openxmlformats.org/officeDocument/2006/relationships/hyperlink" Target="https://www.linkedin.com/in/neeru-mehta-7011a210/" TargetMode="External"/><Relationship Id="rId92" Type="http://schemas.openxmlformats.org/officeDocument/2006/relationships/hyperlink" Target="https://www.linkedin.com/in/anupamapanicker/" TargetMode="External"/><Relationship Id="rId118" Type="http://schemas.openxmlformats.org/officeDocument/2006/relationships/hyperlink" Target="https://www.linkedin.com/in/guruprasad-h-d-2574b614/" TargetMode="External"/><Relationship Id="rId117" Type="http://schemas.openxmlformats.org/officeDocument/2006/relationships/hyperlink" Target="https://www.linkedin.com/in/diwakar-a-3a53559" TargetMode="External"/><Relationship Id="rId116" Type="http://schemas.openxmlformats.org/officeDocument/2006/relationships/hyperlink" Target="https://www.linkedin.com/in/daniel-richard-8a484517/" TargetMode="External"/><Relationship Id="rId115" Type="http://schemas.openxmlformats.org/officeDocument/2006/relationships/hyperlink" Target="https://www.linkedin.com/in/avijitonline/" TargetMode="External"/><Relationship Id="rId119" Type="http://schemas.openxmlformats.org/officeDocument/2006/relationships/hyperlink" Target="https://www.linkedin.com/in/manav-chhabra-48a84a39/" TargetMode="External"/><Relationship Id="rId110" Type="http://schemas.openxmlformats.org/officeDocument/2006/relationships/hyperlink" Target="https://www.linkedin.com/in/vaishali-rane-she-her-24752b18/" TargetMode="External"/><Relationship Id="rId114" Type="http://schemas.openxmlformats.org/officeDocument/2006/relationships/hyperlink" Target="https://www.linkedin.com/in/dileepkumar8434/" TargetMode="External"/><Relationship Id="rId113" Type="http://schemas.openxmlformats.org/officeDocument/2006/relationships/hyperlink" Target="https://www.linkedin.com/in/sushantkoul/" TargetMode="External"/><Relationship Id="rId112" Type="http://schemas.openxmlformats.org/officeDocument/2006/relationships/hyperlink" Target="https://www.linkedin.com/in/sana-fathima-615ab79b/" TargetMode="External"/><Relationship Id="rId111" Type="http://schemas.openxmlformats.org/officeDocument/2006/relationships/hyperlink" Target="https://www.linkedin.com/in/rahul-k-21980513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0</v>
      </c>
      <c r="B1" s="6"/>
      <c r="C1" s="4" t="s">
        <v>1</v>
      </c>
      <c r="D1" s="4" t="s">
        <v>2</v>
      </c>
      <c r="E1" s="4" t="s">
        <v>3</v>
      </c>
      <c r="F1" s="4" t="s">
        <v>4</v>
      </c>
      <c r="G1" s="4" t="s">
        <v>5</v>
      </c>
      <c r="H1" s="8" t="s">
        <v>6</v>
      </c>
      <c r="I1" s="7"/>
      <c r="J1" s="7"/>
      <c r="K1" s="7"/>
      <c r="L1" s="7"/>
      <c r="M1" s="7"/>
      <c r="N1" s="7"/>
      <c r="O1" s="7"/>
      <c r="P1" s="7"/>
      <c r="Q1" s="7"/>
      <c r="R1" s="7"/>
      <c r="S1" s="7"/>
      <c r="T1" s="7"/>
      <c r="U1" s="7"/>
      <c r="V1" s="7"/>
      <c r="W1" s="7"/>
      <c r="X1" s="7"/>
      <c r="Y1" s="7"/>
      <c r="Z1" s="7"/>
      <c r="AA1" s="7"/>
    </row>
    <row r="2">
      <c r="A2" s="10" t="s">
        <v>8</v>
      </c>
      <c r="B2" s="10"/>
      <c r="C2" s="10" t="s">
        <v>11</v>
      </c>
      <c r="D2" s="10" t="s">
        <v>12</v>
      </c>
      <c r="E2" s="11">
        <v>9.19980541113E11</v>
      </c>
      <c r="F2" s="10" t="s">
        <v>13</v>
      </c>
      <c r="G2" s="14" t="s">
        <v>14</v>
      </c>
      <c r="H2" s="15" t="s">
        <v>17</v>
      </c>
      <c r="I2" s="15"/>
      <c r="J2" s="15"/>
      <c r="K2" s="15"/>
      <c r="L2" s="15"/>
      <c r="M2" s="15"/>
      <c r="N2" s="15"/>
      <c r="O2" s="15"/>
      <c r="P2" s="15"/>
      <c r="Q2" s="15"/>
      <c r="R2" s="15"/>
      <c r="S2" s="15"/>
      <c r="T2" s="15"/>
      <c r="U2" s="15"/>
      <c r="V2" s="15"/>
      <c r="W2" s="15"/>
      <c r="X2" s="15"/>
      <c r="Y2" s="15"/>
      <c r="Z2" s="15"/>
      <c r="AA2" s="15"/>
    </row>
    <row r="3">
      <c r="A3" s="10" t="s">
        <v>18</v>
      </c>
      <c r="B3" s="10"/>
      <c r="C3" s="10" t="s">
        <v>19</v>
      </c>
      <c r="D3" s="10" t="s">
        <v>20</v>
      </c>
      <c r="E3" s="11">
        <v>9.19886183722E11</v>
      </c>
      <c r="F3" s="10" t="s">
        <v>21</v>
      </c>
      <c r="G3" s="14" t="s">
        <v>22</v>
      </c>
      <c r="H3" s="17"/>
      <c r="I3" s="7"/>
      <c r="J3" s="7"/>
      <c r="K3" s="7"/>
      <c r="L3" s="7"/>
      <c r="M3" s="7"/>
      <c r="N3" s="7"/>
      <c r="O3" s="7"/>
      <c r="P3" s="7"/>
      <c r="Q3" s="7"/>
      <c r="R3" s="7"/>
      <c r="S3" s="7"/>
      <c r="T3" s="7"/>
      <c r="U3" s="7"/>
      <c r="V3" s="7"/>
      <c r="W3" s="7"/>
      <c r="X3" s="7"/>
      <c r="Y3" s="7"/>
      <c r="Z3" s="7"/>
      <c r="AA3" s="7"/>
    </row>
    <row r="4">
      <c r="A4" s="18" t="s">
        <v>25</v>
      </c>
      <c r="B4" s="18"/>
      <c r="C4" s="18" t="s">
        <v>26</v>
      </c>
      <c r="D4" s="18" t="s">
        <v>20</v>
      </c>
      <c r="E4" s="19">
        <v>9.18123344372E11</v>
      </c>
      <c r="F4" s="18" t="s">
        <v>27</v>
      </c>
      <c r="G4" s="20" t="s">
        <v>28</v>
      </c>
      <c r="H4" s="17" t="s">
        <v>30</v>
      </c>
      <c r="I4" s="7"/>
      <c r="J4" s="7"/>
      <c r="K4" s="7"/>
      <c r="L4" s="7"/>
      <c r="M4" s="7"/>
      <c r="N4" s="7"/>
      <c r="O4" s="7"/>
      <c r="P4" s="7"/>
      <c r="Q4" s="7"/>
      <c r="R4" s="7"/>
      <c r="S4" s="7"/>
      <c r="T4" s="7"/>
      <c r="U4" s="7"/>
      <c r="V4" s="7"/>
      <c r="W4" s="7"/>
      <c r="X4" s="7"/>
      <c r="Y4" s="7"/>
      <c r="Z4" s="7"/>
      <c r="AA4" s="7"/>
    </row>
    <row r="5">
      <c r="A5" s="18" t="s">
        <v>31</v>
      </c>
      <c r="B5" s="18"/>
      <c r="C5" s="18" t="s">
        <v>32</v>
      </c>
      <c r="D5" s="18" t="s">
        <v>33</v>
      </c>
      <c r="E5" s="18" t="s">
        <v>34</v>
      </c>
      <c r="F5" s="18" t="s">
        <v>35</v>
      </c>
      <c r="G5" s="20" t="s">
        <v>36</v>
      </c>
      <c r="H5" s="17" t="s">
        <v>40</v>
      </c>
      <c r="I5" s="7"/>
      <c r="J5" s="7"/>
      <c r="K5" s="7"/>
      <c r="L5" s="7"/>
      <c r="M5" s="7"/>
      <c r="N5" s="7"/>
      <c r="O5" s="7"/>
      <c r="P5" s="7"/>
      <c r="Q5" s="7"/>
      <c r="R5" s="7"/>
      <c r="S5" s="7"/>
      <c r="T5" s="7"/>
      <c r="U5" s="7"/>
      <c r="V5" s="7"/>
      <c r="W5" s="7"/>
      <c r="X5" s="7"/>
      <c r="Y5" s="7"/>
      <c r="Z5" s="7"/>
      <c r="AA5" s="7"/>
    </row>
    <row r="6">
      <c r="A6" s="18" t="s">
        <v>41</v>
      </c>
      <c r="B6" s="18"/>
      <c r="C6" s="18" t="s">
        <v>42</v>
      </c>
      <c r="D6" s="18" t="s">
        <v>20</v>
      </c>
      <c r="E6" s="18" t="s">
        <v>43</v>
      </c>
      <c r="F6" s="18" t="s">
        <v>44</v>
      </c>
      <c r="G6" s="20" t="s">
        <v>45</v>
      </c>
      <c r="H6" s="17" t="s">
        <v>46</v>
      </c>
      <c r="I6" s="7"/>
      <c r="J6" s="7"/>
      <c r="K6" s="7"/>
      <c r="L6" s="7"/>
      <c r="M6" s="7"/>
      <c r="N6" s="7"/>
      <c r="O6" s="7"/>
      <c r="P6" s="7"/>
      <c r="Q6" s="7"/>
      <c r="R6" s="7"/>
      <c r="S6" s="7"/>
      <c r="T6" s="7"/>
      <c r="U6" s="7"/>
      <c r="V6" s="7"/>
      <c r="W6" s="7"/>
      <c r="X6" s="7"/>
      <c r="Y6" s="7"/>
      <c r="Z6" s="7"/>
      <c r="AA6" s="7"/>
    </row>
    <row r="7">
      <c r="A7" s="18" t="s">
        <v>47</v>
      </c>
      <c r="B7" s="18"/>
      <c r="C7" s="21" t="s">
        <v>49</v>
      </c>
      <c r="D7" s="18" t="s">
        <v>52</v>
      </c>
      <c r="E7" s="18" t="s">
        <v>53</v>
      </c>
      <c r="F7" s="18" t="s">
        <v>55</v>
      </c>
      <c r="G7" s="20" t="s">
        <v>56</v>
      </c>
      <c r="H7" s="17"/>
      <c r="I7" s="7"/>
      <c r="J7" s="7"/>
      <c r="K7" s="7"/>
      <c r="L7" s="7"/>
      <c r="M7" s="7"/>
      <c r="N7" s="7"/>
      <c r="O7" s="7"/>
      <c r="P7" s="7"/>
      <c r="Q7" s="7"/>
      <c r="R7" s="7"/>
      <c r="S7" s="7"/>
      <c r="T7" s="7"/>
      <c r="U7" s="7"/>
      <c r="V7" s="7"/>
      <c r="W7" s="7"/>
      <c r="X7" s="7"/>
      <c r="Y7" s="7"/>
      <c r="Z7" s="7"/>
      <c r="AA7" s="7"/>
    </row>
    <row r="8">
      <c r="A8" s="18" t="s">
        <v>57</v>
      </c>
      <c r="B8" s="18"/>
      <c r="C8" s="21" t="s">
        <v>58</v>
      </c>
      <c r="D8" s="18" t="s">
        <v>59</v>
      </c>
      <c r="E8" s="19">
        <v>9.19880822311E11</v>
      </c>
      <c r="F8" s="18" t="s">
        <v>60</v>
      </c>
      <c r="G8" s="20" t="s">
        <v>61</v>
      </c>
      <c r="H8" s="17" t="s">
        <v>63</v>
      </c>
      <c r="I8" s="7"/>
      <c r="J8" s="7"/>
      <c r="K8" s="7"/>
      <c r="L8" s="7"/>
      <c r="M8" s="7"/>
      <c r="N8" s="7"/>
      <c r="O8" s="7"/>
      <c r="P8" s="7"/>
      <c r="Q8" s="7"/>
      <c r="R8" s="7"/>
      <c r="S8" s="7"/>
      <c r="T8" s="7"/>
      <c r="U8" s="7"/>
      <c r="V8" s="7"/>
      <c r="W8" s="7"/>
      <c r="X8" s="7"/>
      <c r="Y8" s="7"/>
      <c r="Z8" s="7"/>
      <c r="AA8" s="7"/>
    </row>
    <row r="9">
      <c r="A9" s="18" t="s">
        <v>64</v>
      </c>
      <c r="B9" s="18"/>
      <c r="C9" s="21" t="s">
        <v>65</v>
      </c>
      <c r="D9" s="18" t="s">
        <v>66</v>
      </c>
      <c r="E9" s="19">
        <v>9.19930190871E11</v>
      </c>
      <c r="F9" s="18" t="s">
        <v>67</v>
      </c>
      <c r="G9" s="20" t="s">
        <v>69</v>
      </c>
      <c r="H9" s="17" t="s">
        <v>70</v>
      </c>
      <c r="I9" s="7"/>
      <c r="J9" s="7"/>
      <c r="K9" s="7"/>
      <c r="L9" s="7"/>
      <c r="M9" s="7"/>
      <c r="N9" s="7"/>
      <c r="O9" s="7"/>
      <c r="P9" s="7"/>
      <c r="Q9" s="7"/>
      <c r="R9" s="7"/>
      <c r="S9" s="7"/>
      <c r="T9" s="7"/>
      <c r="U9" s="7"/>
      <c r="V9" s="7"/>
      <c r="W9" s="7"/>
      <c r="X9" s="7"/>
      <c r="Y9" s="7"/>
      <c r="Z9" s="7"/>
      <c r="AA9" s="7"/>
    </row>
    <row r="10">
      <c r="A10" s="18" t="s">
        <v>71</v>
      </c>
      <c r="B10" s="18"/>
      <c r="C10" s="21" t="s">
        <v>72</v>
      </c>
      <c r="D10" s="18" t="s">
        <v>73</v>
      </c>
      <c r="E10" s="19">
        <v>9.17899431445E11</v>
      </c>
      <c r="F10" s="18"/>
      <c r="G10" s="20" t="s">
        <v>74</v>
      </c>
      <c r="H10" s="17" t="s">
        <v>77</v>
      </c>
      <c r="I10" s="7"/>
      <c r="J10" s="7"/>
      <c r="K10" s="7"/>
      <c r="L10" s="7"/>
      <c r="M10" s="7"/>
      <c r="N10" s="7"/>
      <c r="O10" s="7"/>
      <c r="P10" s="7"/>
      <c r="Q10" s="7"/>
      <c r="R10" s="7"/>
      <c r="S10" s="7"/>
      <c r="T10" s="7"/>
      <c r="U10" s="7"/>
      <c r="V10" s="7"/>
      <c r="W10" s="7"/>
      <c r="X10" s="7"/>
      <c r="Y10" s="7"/>
      <c r="Z10" s="7"/>
      <c r="AA10" s="7"/>
    </row>
    <row r="11">
      <c r="A11" s="18" t="s">
        <v>78</v>
      </c>
      <c r="B11" s="18"/>
      <c r="C11" s="21" t="s">
        <v>79</v>
      </c>
      <c r="D11" s="18" t="s">
        <v>80</v>
      </c>
      <c r="E11" s="19">
        <v>9.19741157623E11</v>
      </c>
      <c r="F11" s="18" t="s">
        <v>81</v>
      </c>
      <c r="G11" s="20" t="s">
        <v>82</v>
      </c>
      <c r="H11" s="17" t="s">
        <v>83</v>
      </c>
      <c r="I11" s="7"/>
      <c r="J11" s="7"/>
      <c r="K11" s="7"/>
      <c r="L11" s="7"/>
      <c r="M11" s="7"/>
      <c r="N11" s="7"/>
      <c r="O11" s="7"/>
      <c r="P11" s="7"/>
      <c r="Q11" s="7"/>
      <c r="R11" s="7"/>
      <c r="S11" s="7"/>
      <c r="T11" s="7"/>
      <c r="U11" s="7"/>
      <c r="V11" s="7"/>
      <c r="W11" s="7"/>
      <c r="X11" s="7"/>
      <c r="Y11" s="7"/>
      <c r="Z11" s="7"/>
      <c r="AA11" s="7"/>
    </row>
    <row r="12">
      <c r="A12" s="18" t="s">
        <v>85</v>
      </c>
      <c r="B12" s="18"/>
      <c r="C12" s="21" t="s">
        <v>86</v>
      </c>
      <c r="D12" s="18" t="s">
        <v>87</v>
      </c>
      <c r="E12" s="19">
        <v>9.19845670053E11</v>
      </c>
      <c r="F12" s="18" t="s">
        <v>88</v>
      </c>
      <c r="G12" s="20" t="s">
        <v>89</v>
      </c>
      <c r="H12" s="17" t="s">
        <v>94</v>
      </c>
      <c r="I12" s="7"/>
      <c r="J12" s="7"/>
      <c r="K12" s="7"/>
      <c r="L12" s="7"/>
      <c r="M12" s="7"/>
      <c r="N12" s="7"/>
      <c r="O12" s="7"/>
      <c r="P12" s="7"/>
      <c r="Q12" s="7"/>
      <c r="R12" s="7"/>
      <c r="S12" s="7"/>
      <c r="T12" s="7"/>
      <c r="U12" s="7"/>
      <c r="V12" s="7"/>
      <c r="W12" s="7"/>
      <c r="X12" s="7"/>
      <c r="Y12" s="7"/>
      <c r="Z12" s="7"/>
      <c r="AA12" s="7"/>
    </row>
    <row r="13">
      <c r="A13" s="18" t="s">
        <v>95</v>
      </c>
      <c r="B13" s="18"/>
      <c r="C13" s="21" t="s">
        <v>96</v>
      </c>
      <c r="D13" s="18" t="s">
        <v>97</v>
      </c>
      <c r="E13" s="18" t="s">
        <v>98</v>
      </c>
      <c r="F13" s="18" t="s">
        <v>99</v>
      </c>
      <c r="G13" s="20" t="s">
        <v>100</v>
      </c>
      <c r="H13" s="17" t="s">
        <v>101</v>
      </c>
      <c r="I13" s="7"/>
      <c r="J13" s="7"/>
      <c r="K13" s="7"/>
      <c r="L13" s="7"/>
      <c r="M13" s="7"/>
      <c r="N13" s="7"/>
      <c r="O13" s="7"/>
      <c r="P13" s="7"/>
      <c r="Q13" s="7"/>
      <c r="R13" s="7"/>
      <c r="S13" s="7"/>
      <c r="T13" s="7"/>
      <c r="U13" s="7"/>
      <c r="V13" s="7"/>
      <c r="W13" s="7"/>
      <c r="X13" s="7"/>
      <c r="Y13" s="7"/>
      <c r="Z13" s="7"/>
      <c r="AA13" s="7"/>
    </row>
    <row r="14">
      <c r="A14" s="18" t="s">
        <v>102</v>
      </c>
      <c r="B14" s="18"/>
      <c r="C14" s="25" t="s">
        <v>103</v>
      </c>
      <c r="D14" s="18" t="s">
        <v>20</v>
      </c>
      <c r="E14" s="19">
        <v>9.19986367354E11</v>
      </c>
      <c r="F14" s="18" t="s">
        <v>107</v>
      </c>
      <c r="G14" s="20" t="s">
        <v>108</v>
      </c>
      <c r="H14" s="17"/>
      <c r="I14" s="7"/>
      <c r="J14" s="7"/>
      <c r="K14" s="7"/>
      <c r="L14" s="7"/>
      <c r="M14" s="7"/>
      <c r="N14" s="7"/>
      <c r="O14" s="7"/>
      <c r="P14" s="7"/>
      <c r="Q14" s="7"/>
      <c r="R14" s="7"/>
      <c r="S14" s="7"/>
      <c r="T14" s="7"/>
      <c r="U14" s="7"/>
      <c r="V14" s="7"/>
      <c r="W14" s="7"/>
      <c r="X14" s="7"/>
      <c r="Y14" s="7"/>
      <c r="Z14" s="7"/>
      <c r="AA14" s="7"/>
    </row>
    <row r="15">
      <c r="A15" s="18" t="s">
        <v>109</v>
      </c>
      <c r="B15" s="18"/>
      <c r="C15" s="25" t="s">
        <v>110</v>
      </c>
      <c r="D15" s="18" t="s">
        <v>112</v>
      </c>
      <c r="E15" s="19">
        <v>9.19739294658E11</v>
      </c>
      <c r="F15" s="18" t="s">
        <v>114</v>
      </c>
      <c r="G15" s="20" t="s">
        <v>116</v>
      </c>
      <c r="H15" s="17"/>
      <c r="I15" s="7"/>
      <c r="J15" s="7"/>
      <c r="K15" s="7"/>
      <c r="L15" s="7"/>
      <c r="M15" s="7"/>
      <c r="N15" s="7"/>
      <c r="O15" s="7"/>
      <c r="P15" s="7"/>
      <c r="Q15" s="7"/>
      <c r="R15" s="7"/>
      <c r="S15" s="7"/>
      <c r="T15" s="7"/>
      <c r="U15" s="7"/>
      <c r="V15" s="7"/>
      <c r="W15" s="7"/>
      <c r="X15" s="7"/>
      <c r="Y15" s="7"/>
      <c r="Z15" s="7"/>
      <c r="AA15" s="7"/>
    </row>
    <row r="16">
      <c r="A16" s="18" t="s">
        <v>118</v>
      </c>
      <c r="B16" s="18"/>
      <c r="C16" s="25" t="s">
        <v>119</v>
      </c>
      <c r="D16" s="18" t="s">
        <v>120</v>
      </c>
      <c r="E16" s="18"/>
      <c r="F16" s="18" t="s">
        <v>121</v>
      </c>
      <c r="G16" s="20" t="s">
        <v>122</v>
      </c>
      <c r="H16" s="17"/>
      <c r="I16" s="7"/>
      <c r="J16" s="7"/>
      <c r="K16" s="7"/>
      <c r="L16" s="7"/>
      <c r="M16" s="7"/>
      <c r="N16" s="7"/>
      <c r="O16" s="7"/>
      <c r="P16" s="7"/>
      <c r="Q16" s="7"/>
      <c r="R16" s="7"/>
      <c r="S16" s="7"/>
      <c r="T16" s="7"/>
      <c r="U16" s="7"/>
      <c r="V16" s="7"/>
      <c r="W16" s="7"/>
      <c r="X16" s="7"/>
      <c r="Y16" s="7"/>
      <c r="Z16" s="7"/>
      <c r="AA16" s="7"/>
    </row>
    <row r="17">
      <c r="A17" s="18" t="s">
        <v>127</v>
      </c>
      <c r="B17" s="18"/>
      <c r="C17" s="25" t="s">
        <v>128</v>
      </c>
      <c r="D17" s="18" t="s">
        <v>130</v>
      </c>
      <c r="E17" s="18"/>
      <c r="F17" s="18"/>
      <c r="G17" s="20" t="s">
        <v>132</v>
      </c>
      <c r="H17" s="17"/>
      <c r="I17" s="7"/>
      <c r="J17" s="7"/>
      <c r="K17" s="7"/>
      <c r="L17" s="7"/>
      <c r="M17" s="7"/>
      <c r="N17" s="7"/>
      <c r="O17" s="7"/>
      <c r="P17" s="7"/>
      <c r="Q17" s="7"/>
      <c r="R17" s="7"/>
      <c r="S17" s="7"/>
      <c r="T17" s="7"/>
      <c r="U17" s="7"/>
      <c r="V17" s="7"/>
      <c r="W17" s="7"/>
      <c r="X17" s="7"/>
      <c r="Y17" s="7"/>
      <c r="Z17" s="7"/>
      <c r="AA17" s="7"/>
    </row>
    <row r="18">
      <c r="A18" s="18" t="s">
        <v>135</v>
      </c>
      <c r="B18" s="18"/>
      <c r="C18" s="25" t="s">
        <v>136</v>
      </c>
      <c r="D18" s="18" t="s">
        <v>137</v>
      </c>
      <c r="E18" s="18"/>
      <c r="F18" s="18"/>
      <c r="G18" s="20" t="s">
        <v>138</v>
      </c>
      <c r="H18" s="17"/>
      <c r="I18" s="7"/>
      <c r="J18" s="7"/>
      <c r="K18" s="7"/>
      <c r="L18" s="7"/>
      <c r="M18" s="7"/>
      <c r="N18" s="7"/>
      <c r="O18" s="7"/>
      <c r="P18" s="7"/>
      <c r="Q18" s="7"/>
      <c r="R18" s="7"/>
      <c r="S18" s="7"/>
      <c r="T18" s="7"/>
      <c r="U18" s="7"/>
      <c r="V18" s="7"/>
      <c r="W18" s="7"/>
      <c r="X18" s="7"/>
      <c r="Y18" s="7"/>
      <c r="Z18" s="7"/>
      <c r="AA18" s="7"/>
    </row>
    <row r="19">
      <c r="A19" s="18" t="s">
        <v>140</v>
      </c>
      <c r="B19" s="18"/>
      <c r="C19" s="25" t="s">
        <v>141</v>
      </c>
      <c r="D19" s="18" t="s">
        <v>20</v>
      </c>
      <c r="E19" s="19">
        <v>9.18879199913E11</v>
      </c>
      <c r="F19" s="18"/>
      <c r="G19" s="20" t="s">
        <v>142</v>
      </c>
      <c r="H19" s="17"/>
      <c r="I19" s="7"/>
      <c r="J19" s="7"/>
      <c r="K19" s="7"/>
      <c r="L19" s="7"/>
      <c r="M19" s="7"/>
      <c r="N19" s="7"/>
      <c r="O19" s="7"/>
      <c r="P19" s="7"/>
      <c r="Q19" s="7"/>
      <c r="R19" s="7"/>
      <c r="S19" s="7"/>
      <c r="T19" s="7"/>
      <c r="U19" s="7"/>
      <c r="V19" s="7"/>
      <c r="W19" s="7"/>
      <c r="X19" s="7"/>
      <c r="Y19" s="7"/>
      <c r="Z19" s="7"/>
      <c r="AA19" s="7"/>
    </row>
    <row r="20">
      <c r="A20" s="18" t="s">
        <v>148</v>
      </c>
      <c r="B20" s="18"/>
      <c r="C20" s="25" t="s">
        <v>149</v>
      </c>
      <c r="D20" s="18" t="s">
        <v>150</v>
      </c>
      <c r="E20" s="18"/>
      <c r="F20" s="18"/>
      <c r="G20" s="20" t="s">
        <v>151</v>
      </c>
      <c r="H20" s="17"/>
      <c r="I20" s="7"/>
      <c r="J20" s="7"/>
      <c r="K20" s="7"/>
      <c r="L20" s="7"/>
      <c r="M20" s="7"/>
      <c r="N20" s="7"/>
      <c r="O20" s="7"/>
      <c r="P20" s="7"/>
      <c r="Q20" s="7"/>
      <c r="R20" s="7"/>
      <c r="S20" s="7"/>
      <c r="T20" s="7"/>
      <c r="U20" s="7"/>
      <c r="V20" s="7"/>
      <c r="W20" s="7"/>
      <c r="X20" s="7"/>
      <c r="Y20" s="7"/>
      <c r="Z20" s="7"/>
      <c r="AA20" s="7"/>
    </row>
    <row r="21">
      <c r="A21" s="18" t="s">
        <v>156</v>
      </c>
      <c r="B21" s="18"/>
      <c r="C21" s="25" t="s">
        <v>157</v>
      </c>
      <c r="D21" s="18" t="s">
        <v>158</v>
      </c>
      <c r="E21" s="18"/>
      <c r="F21" s="18" t="s">
        <v>159</v>
      </c>
      <c r="G21" s="20" t="s">
        <v>160</v>
      </c>
      <c r="H21" s="17"/>
      <c r="I21" s="7"/>
      <c r="J21" s="7"/>
      <c r="K21" s="7"/>
      <c r="L21" s="7"/>
      <c r="M21" s="7"/>
      <c r="N21" s="7"/>
      <c r="O21" s="7"/>
      <c r="P21" s="7"/>
      <c r="Q21" s="7"/>
      <c r="R21" s="7"/>
      <c r="S21" s="7"/>
      <c r="T21" s="7"/>
      <c r="U21" s="7"/>
      <c r="V21" s="7"/>
      <c r="W21" s="7"/>
      <c r="X21" s="7"/>
      <c r="Y21" s="7"/>
      <c r="Z21" s="7"/>
      <c r="AA21" s="7"/>
    </row>
    <row r="22">
      <c r="A22" s="18" t="s">
        <v>166</v>
      </c>
      <c r="B22" s="18"/>
      <c r="C22" s="25" t="s">
        <v>167</v>
      </c>
      <c r="D22" s="18" t="s">
        <v>168</v>
      </c>
      <c r="E22" s="19">
        <v>9.19880389659E11</v>
      </c>
      <c r="F22" s="18" t="s">
        <v>169</v>
      </c>
      <c r="G22" s="20" t="s">
        <v>170</v>
      </c>
      <c r="H22" s="17"/>
      <c r="I22" s="7"/>
      <c r="J22" s="7"/>
      <c r="K22" s="7"/>
      <c r="L22" s="7"/>
      <c r="M22" s="7"/>
      <c r="N22" s="7"/>
      <c r="O22" s="7"/>
      <c r="P22" s="7"/>
      <c r="Q22" s="7"/>
      <c r="R22" s="7"/>
      <c r="S22" s="7"/>
      <c r="T22" s="7"/>
      <c r="U22" s="7"/>
      <c r="V22" s="7"/>
      <c r="W22" s="7"/>
      <c r="X22" s="7"/>
      <c r="Y22" s="7"/>
      <c r="Z22" s="7"/>
      <c r="AA22" s="7"/>
    </row>
    <row r="23">
      <c r="A23" s="18" t="s">
        <v>172</v>
      </c>
      <c r="B23" s="18"/>
      <c r="C23" s="25" t="s">
        <v>173</v>
      </c>
      <c r="D23" s="18" t="s">
        <v>174</v>
      </c>
      <c r="E23" s="19">
        <v>1.6509064111E10</v>
      </c>
      <c r="F23" s="18" t="s">
        <v>175</v>
      </c>
      <c r="G23" s="20" t="s">
        <v>176</v>
      </c>
      <c r="H23" s="17"/>
      <c r="I23" s="7"/>
      <c r="J23" s="7"/>
      <c r="K23" s="7"/>
      <c r="L23" s="7"/>
      <c r="M23" s="7"/>
      <c r="N23" s="7"/>
      <c r="O23" s="7"/>
      <c r="P23" s="7"/>
      <c r="Q23" s="7"/>
      <c r="R23" s="7"/>
      <c r="S23" s="7"/>
      <c r="T23" s="7"/>
      <c r="U23" s="7"/>
      <c r="V23" s="7"/>
      <c r="W23" s="7"/>
      <c r="X23" s="7"/>
      <c r="Y23" s="7"/>
      <c r="Z23" s="7"/>
      <c r="AA23" s="7"/>
    </row>
    <row r="24">
      <c r="A24" s="18" t="s">
        <v>181</v>
      </c>
      <c r="B24" s="18"/>
      <c r="C24" s="25" t="s">
        <v>182</v>
      </c>
      <c r="D24" s="18" t="s">
        <v>183</v>
      </c>
      <c r="E24" s="19">
        <v>9.1995815384E11</v>
      </c>
      <c r="F24" s="18" t="s">
        <v>184</v>
      </c>
      <c r="G24" s="20" t="s">
        <v>185</v>
      </c>
      <c r="H24" s="17"/>
      <c r="I24" s="7"/>
      <c r="J24" s="7"/>
      <c r="K24" s="7"/>
      <c r="L24" s="7"/>
      <c r="M24" s="7"/>
      <c r="N24" s="7"/>
      <c r="O24" s="7"/>
      <c r="P24" s="7"/>
      <c r="Q24" s="7"/>
      <c r="R24" s="7"/>
      <c r="S24" s="7"/>
      <c r="T24" s="7"/>
      <c r="U24" s="7"/>
      <c r="V24" s="7"/>
      <c r="W24" s="7"/>
      <c r="X24" s="7"/>
      <c r="Y24" s="7"/>
      <c r="Z24" s="7"/>
      <c r="AA24" s="7"/>
    </row>
    <row r="25">
      <c r="A25" s="18" t="s">
        <v>187</v>
      </c>
      <c r="B25" s="18"/>
      <c r="C25" s="25" t="s">
        <v>188</v>
      </c>
      <c r="D25" s="18" t="s">
        <v>189</v>
      </c>
      <c r="E25" s="18" t="s">
        <v>98</v>
      </c>
      <c r="F25" s="18" t="s">
        <v>190</v>
      </c>
      <c r="G25" s="20" t="s">
        <v>191</v>
      </c>
      <c r="H25" s="17"/>
      <c r="I25" s="7"/>
      <c r="J25" s="7"/>
      <c r="K25" s="7"/>
      <c r="L25" s="7"/>
      <c r="M25" s="7"/>
      <c r="N25" s="7"/>
      <c r="O25" s="7"/>
      <c r="P25" s="7"/>
      <c r="Q25" s="7"/>
      <c r="R25" s="7"/>
      <c r="S25" s="7"/>
      <c r="T25" s="7"/>
      <c r="U25" s="7"/>
      <c r="V25" s="7"/>
      <c r="W25" s="7"/>
      <c r="X25" s="7"/>
      <c r="Y25" s="7"/>
      <c r="Z25" s="7"/>
      <c r="AA25" s="7"/>
    </row>
    <row r="26">
      <c r="A26" s="18" t="s">
        <v>195</v>
      </c>
      <c r="B26" s="18"/>
      <c r="C26" s="25" t="s">
        <v>196</v>
      </c>
      <c r="D26" s="18" t="s">
        <v>197</v>
      </c>
      <c r="E26" s="19">
        <v>9.19643705829E11</v>
      </c>
      <c r="F26" s="18" t="s">
        <v>198</v>
      </c>
      <c r="G26" s="20" t="s">
        <v>199</v>
      </c>
      <c r="H26" s="17"/>
      <c r="I26" s="7"/>
      <c r="J26" s="7"/>
      <c r="K26" s="7"/>
      <c r="L26" s="7"/>
      <c r="M26" s="7"/>
      <c r="N26" s="7"/>
      <c r="O26" s="7"/>
      <c r="P26" s="7"/>
      <c r="Q26" s="7"/>
      <c r="R26" s="7"/>
      <c r="S26" s="7"/>
      <c r="T26" s="7"/>
      <c r="U26" s="7"/>
      <c r="V26" s="7"/>
      <c r="W26" s="7"/>
      <c r="X26" s="7"/>
      <c r="Y26" s="7"/>
      <c r="Z26" s="7"/>
      <c r="AA26" s="7"/>
    </row>
    <row r="27">
      <c r="A27" s="18" t="s">
        <v>204</v>
      </c>
      <c r="B27" s="18"/>
      <c r="C27" s="25" t="s">
        <v>205</v>
      </c>
      <c r="D27" s="18" t="s">
        <v>206</v>
      </c>
      <c r="E27" s="19">
        <v>9.1973926199E11</v>
      </c>
      <c r="F27" s="18" t="s">
        <v>207</v>
      </c>
      <c r="G27" s="20" t="s">
        <v>208</v>
      </c>
      <c r="H27" s="17"/>
      <c r="I27" s="7"/>
      <c r="J27" s="7"/>
      <c r="K27" s="7"/>
      <c r="L27" s="7"/>
      <c r="M27" s="7"/>
      <c r="N27" s="7"/>
      <c r="O27" s="7"/>
      <c r="P27" s="7"/>
      <c r="Q27" s="7"/>
      <c r="R27" s="7"/>
      <c r="S27" s="7"/>
      <c r="T27" s="7"/>
      <c r="U27" s="7"/>
      <c r="V27" s="7"/>
      <c r="W27" s="7"/>
      <c r="X27" s="7"/>
      <c r="Y27" s="7"/>
      <c r="Z27" s="7"/>
      <c r="AA27" s="7"/>
    </row>
    <row r="28">
      <c r="A28" s="18" t="s">
        <v>210</v>
      </c>
      <c r="B28" s="18"/>
      <c r="C28" s="25" t="s">
        <v>211</v>
      </c>
      <c r="D28" s="18" t="s">
        <v>212</v>
      </c>
      <c r="E28" s="19">
        <v>9.19900906031E11</v>
      </c>
      <c r="F28" s="18" t="s">
        <v>213</v>
      </c>
      <c r="G28" s="20" t="s">
        <v>214</v>
      </c>
      <c r="H28" s="17"/>
      <c r="I28" s="7"/>
      <c r="J28" s="7"/>
      <c r="K28" s="7"/>
      <c r="L28" s="7"/>
      <c r="M28" s="7"/>
      <c r="N28" s="7"/>
      <c r="O28" s="7"/>
      <c r="P28" s="7"/>
      <c r="Q28" s="7"/>
      <c r="R28" s="7"/>
      <c r="S28" s="7"/>
      <c r="T28" s="7"/>
      <c r="U28" s="7"/>
      <c r="V28" s="7"/>
      <c r="W28" s="7"/>
      <c r="X28" s="7"/>
      <c r="Y28" s="7"/>
      <c r="Z28" s="7"/>
      <c r="AA28" s="7"/>
    </row>
    <row r="29">
      <c r="A29" s="18" t="s">
        <v>216</v>
      </c>
      <c r="B29" s="18"/>
      <c r="C29" s="25" t="s">
        <v>217</v>
      </c>
      <c r="D29" s="18" t="s">
        <v>189</v>
      </c>
      <c r="E29" s="18" t="s">
        <v>218</v>
      </c>
      <c r="F29" s="18" t="s">
        <v>219</v>
      </c>
      <c r="G29" s="20" t="s">
        <v>220</v>
      </c>
      <c r="H29" s="17"/>
      <c r="I29" s="7"/>
      <c r="J29" s="7"/>
      <c r="K29" s="7"/>
      <c r="L29" s="7"/>
      <c r="M29" s="7"/>
      <c r="N29" s="7"/>
      <c r="O29" s="7"/>
      <c r="P29" s="7"/>
      <c r="Q29" s="7"/>
      <c r="R29" s="7"/>
      <c r="S29" s="7"/>
      <c r="T29" s="7"/>
      <c r="U29" s="7"/>
      <c r="V29" s="7"/>
      <c r="W29" s="7"/>
      <c r="X29" s="7"/>
      <c r="Y29" s="7"/>
      <c r="Z29" s="7"/>
      <c r="AA29" s="7"/>
    </row>
    <row r="30">
      <c r="A30" s="18" t="s">
        <v>223</v>
      </c>
      <c r="B30" s="18"/>
      <c r="C30" s="25" t="s">
        <v>224</v>
      </c>
      <c r="D30" s="18" t="s">
        <v>225</v>
      </c>
      <c r="E30" s="18" t="s">
        <v>98</v>
      </c>
      <c r="F30" s="18" t="s">
        <v>226</v>
      </c>
      <c r="G30" s="20" t="s">
        <v>227</v>
      </c>
      <c r="H30" s="17"/>
      <c r="I30" s="7"/>
      <c r="J30" s="7"/>
      <c r="K30" s="7"/>
      <c r="L30" s="7"/>
      <c r="M30" s="7"/>
      <c r="N30" s="7"/>
      <c r="O30" s="7"/>
      <c r="P30" s="7"/>
      <c r="Q30" s="7"/>
      <c r="R30" s="7"/>
      <c r="S30" s="7"/>
      <c r="T30" s="7"/>
      <c r="U30" s="7"/>
      <c r="V30" s="7"/>
      <c r="W30" s="7"/>
      <c r="X30" s="7"/>
      <c r="Y30" s="7"/>
      <c r="Z30" s="7"/>
      <c r="AA30" s="7"/>
    </row>
    <row r="31">
      <c r="A31" s="18" t="s">
        <v>229</v>
      </c>
      <c r="B31" s="18"/>
      <c r="C31" s="25" t="s">
        <v>230</v>
      </c>
      <c r="D31" s="18" t="s">
        <v>231</v>
      </c>
      <c r="E31" s="19">
        <v>9.19902831672E11</v>
      </c>
      <c r="F31" s="18" t="s">
        <v>232</v>
      </c>
      <c r="G31" s="20" t="s">
        <v>233</v>
      </c>
      <c r="H31" s="17"/>
      <c r="I31" s="7"/>
      <c r="J31" s="7"/>
      <c r="K31" s="7"/>
      <c r="L31" s="7"/>
      <c r="M31" s="7"/>
      <c r="N31" s="7"/>
      <c r="O31" s="7"/>
      <c r="P31" s="7"/>
      <c r="Q31" s="7"/>
      <c r="R31" s="7"/>
      <c r="S31" s="7"/>
      <c r="T31" s="7"/>
      <c r="U31" s="7"/>
      <c r="V31" s="7"/>
      <c r="W31" s="7"/>
      <c r="X31" s="7"/>
      <c r="Y31" s="7"/>
      <c r="Z31" s="7"/>
      <c r="AA31" s="7"/>
    </row>
    <row r="32">
      <c r="A32" s="32" t="str">
        <f>IFERROR(__xludf.DUMMYFUNCTION("AI(""Fill an appropriate value for this cell based on the table context"")"),"Bala Purushothaman")</f>
        <v>Bala Purushothaman</v>
      </c>
      <c r="B32" s="18"/>
      <c r="C32" s="25" t="s">
        <v>244</v>
      </c>
      <c r="D32" s="18"/>
      <c r="E32" s="18"/>
      <c r="F32" s="18"/>
      <c r="G32" s="18"/>
      <c r="H32" s="17"/>
      <c r="I32" s="7"/>
      <c r="J32" s="7"/>
      <c r="K32" s="7"/>
      <c r="L32" s="7"/>
      <c r="M32" s="7"/>
      <c r="N32" s="7"/>
      <c r="O32" s="7"/>
      <c r="P32" s="7"/>
      <c r="Q32" s="7"/>
      <c r="R32" s="7"/>
      <c r="S32" s="7"/>
      <c r="T32" s="7"/>
      <c r="U32" s="7"/>
      <c r="V32" s="7"/>
      <c r="W32" s="7"/>
      <c r="X32" s="7"/>
      <c r="Y32" s="7"/>
      <c r="Z32" s="7"/>
      <c r="AA32" s="7"/>
    </row>
    <row r="33">
      <c r="A33" s="18" t="s">
        <v>245</v>
      </c>
      <c r="B33" s="18"/>
      <c r="C33" s="18"/>
      <c r="D33" s="18" t="s">
        <v>246</v>
      </c>
      <c r="E33" s="18" t="s">
        <v>247</v>
      </c>
      <c r="F33" s="18" t="s">
        <v>248</v>
      </c>
      <c r="G33" s="20" t="s">
        <v>249</v>
      </c>
      <c r="H33" s="17"/>
      <c r="I33" s="7"/>
      <c r="J33" s="7"/>
      <c r="K33" s="7"/>
      <c r="L33" s="7"/>
      <c r="M33" s="7"/>
      <c r="N33" s="7"/>
      <c r="O33" s="7"/>
      <c r="P33" s="7"/>
      <c r="Q33" s="7"/>
      <c r="R33" s="7"/>
      <c r="S33" s="7"/>
      <c r="T33" s="7"/>
      <c r="U33" s="7"/>
      <c r="V33" s="7"/>
      <c r="W33" s="7"/>
      <c r="X33" s="7"/>
      <c r="Y33" s="7"/>
      <c r="Z33" s="7"/>
      <c r="AA33" s="7"/>
    </row>
    <row r="34">
      <c r="A34" s="18" t="s">
        <v>254</v>
      </c>
      <c r="B34" s="18"/>
      <c r="C34" s="25" t="s">
        <v>255</v>
      </c>
      <c r="D34" s="18" t="s">
        <v>256</v>
      </c>
      <c r="E34" s="34">
        <v>9.19945690044E11</v>
      </c>
      <c r="F34" s="18" t="s">
        <v>257</v>
      </c>
      <c r="G34" s="20" t="s">
        <v>258</v>
      </c>
      <c r="H34" s="17"/>
      <c r="I34" s="7"/>
      <c r="J34" s="7"/>
      <c r="K34" s="7"/>
      <c r="L34" s="7"/>
      <c r="M34" s="7"/>
      <c r="N34" s="7"/>
      <c r="O34" s="7"/>
      <c r="P34" s="7"/>
      <c r="Q34" s="7"/>
      <c r="R34" s="7"/>
      <c r="S34" s="7"/>
      <c r="T34" s="7"/>
      <c r="U34" s="7"/>
      <c r="V34" s="7"/>
      <c r="W34" s="7"/>
      <c r="X34" s="7"/>
      <c r="Y34" s="7"/>
      <c r="Z34" s="7"/>
      <c r="AA34" s="7"/>
    </row>
    <row r="35">
      <c r="A35" s="18" t="s">
        <v>264</v>
      </c>
      <c r="B35" s="18"/>
      <c r="C35" s="25" t="s">
        <v>265</v>
      </c>
      <c r="D35" s="18" t="s">
        <v>20</v>
      </c>
      <c r="E35" s="19">
        <v>9.19686100177E11</v>
      </c>
      <c r="F35" s="18" t="s">
        <v>266</v>
      </c>
      <c r="G35" s="20" t="s">
        <v>267</v>
      </c>
      <c r="H35" s="17"/>
      <c r="I35" s="7"/>
      <c r="J35" s="7"/>
      <c r="K35" s="7"/>
      <c r="L35" s="7"/>
      <c r="M35" s="7"/>
      <c r="N35" s="7"/>
      <c r="O35" s="7"/>
      <c r="P35" s="7"/>
      <c r="Q35" s="7"/>
      <c r="R35" s="7"/>
      <c r="S35" s="7"/>
      <c r="T35" s="7"/>
      <c r="U35" s="7"/>
      <c r="V35" s="7"/>
      <c r="W35" s="7"/>
      <c r="X35" s="7"/>
      <c r="Y35" s="7"/>
      <c r="Z35" s="7"/>
      <c r="AA35" s="7"/>
    </row>
    <row r="36">
      <c r="A36" s="18" t="s">
        <v>268</v>
      </c>
      <c r="B36" s="18"/>
      <c r="C36" s="18" t="s">
        <v>269</v>
      </c>
      <c r="D36" s="18" t="s">
        <v>20</v>
      </c>
      <c r="E36" s="18" t="s">
        <v>270</v>
      </c>
      <c r="F36" s="18" t="s">
        <v>272</v>
      </c>
      <c r="G36" s="20" t="s">
        <v>274</v>
      </c>
      <c r="H36" s="17"/>
      <c r="I36" s="7"/>
      <c r="J36" s="7"/>
      <c r="K36" s="7"/>
      <c r="L36" s="7"/>
      <c r="M36" s="7"/>
      <c r="N36" s="7"/>
      <c r="O36" s="7"/>
      <c r="P36" s="7"/>
      <c r="Q36" s="7"/>
      <c r="R36" s="7"/>
      <c r="S36" s="7"/>
      <c r="T36" s="7"/>
      <c r="U36" s="7"/>
      <c r="V36" s="7"/>
      <c r="W36" s="7"/>
      <c r="X36" s="7"/>
      <c r="Y36" s="7"/>
      <c r="Z36" s="7"/>
      <c r="AA36" s="7"/>
    </row>
    <row r="37">
      <c r="A37" s="18" t="s">
        <v>276</v>
      </c>
      <c r="B37" s="18"/>
      <c r="C37" s="18" t="s">
        <v>277</v>
      </c>
      <c r="D37" s="18" t="s">
        <v>278</v>
      </c>
      <c r="E37" s="19">
        <v>9.19739961844E11</v>
      </c>
      <c r="F37" s="18" t="s">
        <v>279</v>
      </c>
      <c r="G37" s="20" t="s">
        <v>280</v>
      </c>
      <c r="H37" s="17"/>
      <c r="I37" s="7"/>
      <c r="J37" s="7"/>
      <c r="K37" s="7"/>
      <c r="L37" s="7"/>
      <c r="M37" s="7"/>
      <c r="N37" s="7"/>
      <c r="O37" s="7"/>
      <c r="P37" s="7"/>
      <c r="Q37" s="7"/>
      <c r="R37" s="7"/>
      <c r="S37" s="7"/>
      <c r="T37" s="7"/>
      <c r="U37" s="7"/>
      <c r="V37" s="7"/>
      <c r="W37" s="7"/>
      <c r="X37" s="7"/>
      <c r="Y37" s="7"/>
      <c r="Z37" s="7"/>
      <c r="AA37" s="7"/>
    </row>
    <row r="38">
      <c r="A38" s="18" t="s">
        <v>281</v>
      </c>
      <c r="B38" s="18"/>
      <c r="C38" s="18" t="s">
        <v>282</v>
      </c>
      <c r="D38" s="18" t="s">
        <v>283</v>
      </c>
      <c r="E38" s="18" t="s">
        <v>285</v>
      </c>
      <c r="F38" s="18" t="s">
        <v>286</v>
      </c>
      <c r="G38" s="20" t="s">
        <v>288</v>
      </c>
      <c r="H38" s="17"/>
      <c r="I38" s="7"/>
      <c r="J38" s="7"/>
      <c r="K38" s="7"/>
      <c r="L38" s="7"/>
      <c r="M38" s="7"/>
      <c r="N38" s="7"/>
      <c r="O38" s="7"/>
      <c r="P38" s="7"/>
      <c r="Q38" s="7"/>
      <c r="R38" s="7"/>
      <c r="S38" s="7"/>
      <c r="T38" s="7"/>
      <c r="U38" s="7"/>
      <c r="V38" s="7"/>
      <c r="W38" s="7"/>
      <c r="X38" s="7"/>
      <c r="Y38" s="7"/>
      <c r="Z38" s="7"/>
      <c r="AA38" s="7"/>
    </row>
    <row r="39">
      <c r="A39" s="18" t="s">
        <v>292</v>
      </c>
      <c r="B39" s="18"/>
      <c r="C39" s="18" t="s">
        <v>293</v>
      </c>
      <c r="D39" s="18" t="s">
        <v>294</v>
      </c>
      <c r="E39" s="19">
        <f>917022038957</f>
        <v>917022038957</v>
      </c>
      <c r="F39" s="18" t="s">
        <v>298</v>
      </c>
      <c r="G39" s="20" t="s">
        <v>299</v>
      </c>
      <c r="H39" s="17"/>
      <c r="I39" s="7"/>
      <c r="J39" s="7"/>
      <c r="K39" s="7"/>
      <c r="L39" s="7"/>
      <c r="M39" s="7"/>
      <c r="N39" s="7"/>
      <c r="O39" s="7"/>
      <c r="P39" s="7"/>
      <c r="Q39" s="7"/>
      <c r="R39" s="7"/>
      <c r="S39" s="7"/>
      <c r="T39" s="7"/>
      <c r="U39" s="7"/>
      <c r="V39" s="7"/>
      <c r="W39" s="7"/>
      <c r="X39" s="7"/>
      <c r="Y39" s="7"/>
      <c r="Z39" s="7"/>
      <c r="AA39" s="7"/>
    </row>
    <row r="40">
      <c r="A40" s="18" t="s">
        <v>304</v>
      </c>
      <c r="B40" s="18"/>
      <c r="C40" s="18" t="s">
        <v>305</v>
      </c>
      <c r="D40" s="18" t="s">
        <v>306</v>
      </c>
      <c r="E40" s="19">
        <v>9.19818116765E11</v>
      </c>
      <c r="F40" s="18" t="s">
        <v>307</v>
      </c>
      <c r="G40" s="20" t="s">
        <v>308</v>
      </c>
      <c r="H40" s="17"/>
      <c r="I40" s="7"/>
      <c r="J40" s="7"/>
      <c r="K40" s="7"/>
      <c r="L40" s="7"/>
      <c r="M40" s="7"/>
      <c r="N40" s="7"/>
      <c r="O40" s="7"/>
      <c r="P40" s="7"/>
      <c r="Q40" s="7"/>
      <c r="R40" s="7"/>
      <c r="S40" s="7"/>
      <c r="T40" s="7"/>
      <c r="U40" s="7"/>
      <c r="V40" s="7"/>
      <c r="W40" s="7"/>
      <c r="X40" s="7"/>
      <c r="Y40" s="7"/>
      <c r="Z40" s="7"/>
      <c r="AA40" s="7"/>
    </row>
    <row r="41">
      <c r="A41" s="18" t="s">
        <v>309</v>
      </c>
      <c r="B41" s="18"/>
      <c r="C41" s="18" t="s">
        <v>310</v>
      </c>
      <c r="D41" s="18" t="s">
        <v>311</v>
      </c>
      <c r="E41" s="18" t="s">
        <v>312</v>
      </c>
      <c r="F41" s="18" t="s">
        <v>313</v>
      </c>
      <c r="G41" s="20" t="s">
        <v>314</v>
      </c>
      <c r="H41" s="17"/>
      <c r="I41" s="7"/>
      <c r="J41" s="7"/>
      <c r="K41" s="7"/>
      <c r="L41" s="7"/>
      <c r="M41" s="7"/>
      <c r="N41" s="7"/>
      <c r="O41" s="7"/>
      <c r="P41" s="7"/>
      <c r="Q41" s="7"/>
      <c r="R41" s="7"/>
      <c r="S41" s="7"/>
      <c r="T41" s="7"/>
      <c r="U41" s="7"/>
      <c r="V41" s="7"/>
      <c r="W41" s="7"/>
      <c r="X41" s="7"/>
      <c r="Y41" s="7"/>
      <c r="Z41" s="7"/>
      <c r="AA41" s="7"/>
    </row>
    <row r="42">
      <c r="A42" s="18" t="s">
        <v>317</v>
      </c>
      <c r="B42" s="18"/>
      <c r="C42" s="18" t="s">
        <v>318</v>
      </c>
      <c r="D42" s="18" t="s">
        <v>87</v>
      </c>
      <c r="E42" s="19">
        <v>9.19886892538E11</v>
      </c>
      <c r="F42" s="18" t="s">
        <v>320</v>
      </c>
      <c r="G42" s="20" t="s">
        <v>321</v>
      </c>
      <c r="H42" s="17"/>
      <c r="I42" s="7"/>
      <c r="J42" s="7"/>
      <c r="K42" s="7"/>
      <c r="L42" s="7"/>
      <c r="M42" s="7"/>
      <c r="N42" s="7"/>
      <c r="O42" s="7"/>
      <c r="P42" s="7"/>
      <c r="Q42" s="7"/>
      <c r="R42" s="7"/>
      <c r="S42" s="7"/>
      <c r="T42" s="7"/>
      <c r="U42" s="7"/>
      <c r="V42" s="7"/>
      <c r="W42" s="7"/>
      <c r="X42" s="7"/>
      <c r="Y42" s="7"/>
      <c r="Z42" s="7"/>
      <c r="AA42" s="7"/>
    </row>
    <row r="43">
      <c r="A43" s="18" t="s">
        <v>323</v>
      </c>
      <c r="B43" s="18"/>
      <c r="C43" s="18" t="s">
        <v>324</v>
      </c>
      <c r="D43" s="18" t="s">
        <v>20</v>
      </c>
      <c r="E43" s="18" t="s">
        <v>325</v>
      </c>
      <c r="F43" s="18" t="s">
        <v>326</v>
      </c>
      <c r="G43" s="20" t="s">
        <v>327</v>
      </c>
      <c r="H43" s="17"/>
      <c r="I43" s="7"/>
      <c r="J43" s="7"/>
      <c r="K43" s="7"/>
      <c r="L43" s="7"/>
      <c r="M43" s="7"/>
      <c r="N43" s="7"/>
      <c r="O43" s="7"/>
      <c r="P43" s="7"/>
      <c r="Q43" s="7"/>
      <c r="R43" s="7"/>
      <c r="S43" s="7"/>
      <c r="T43" s="7"/>
      <c r="U43" s="7"/>
      <c r="V43" s="7"/>
      <c r="W43" s="7"/>
      <c r="X43" s="7"/>
      <c r="Y43" s="7"/>
      <c r="Z43" s="7"/>
      <c r="AA43" s="7"/>
    </row>
    <row r="44">
      <c r="A44" s="18" t="s">
        <v>329</v>
      </c>
      <c r="B44" s="18"/>
      <c r="C44" s="18" t="s">
        <v>330</v>
      </c>
      <c r="D44" s="18" t="s">
        <v>331</v>
      </c>
      <c r="E44" s="19">
        <v>9.1880003511E11</v>
      </c>
      <c r="F44" s="18" t="s">
        <v>332</v>
      </c>
      <c r="G44" s="20" t="s">
        <v>334</v>
      </c>
      <c r="H44" s="17"/>
      <c r="I44" s="7"/>
      <c r="J44" s="7"/>
      <c r="K44" s="7"/>
      <c r="L44" s="7"/>
      <c r="M44" s="7"/>
      <c r="N44" s="7"/>
      <c r="O44" s="7"/>
      <c r="P44" s="7"/>
      <c r="Q44" s="7"/>
      <c r="R44" s="7"/>
      <c r="S44" s="7"/>
      <c r="T44" s="7"/>
      <c r="U44" s="7"/>
      <c r="V44" s="7"/>
      <c r="W44" s="7"/>
      <c r="X44" s="7"/>
      <c r="Y44" s="7"/>
      <c r="Z44" s="7"/>
      <c r="AA44" s="7"/>
    </row>
    <row r="45">
      <c r="A45" s="18" t="s">
        <v>338</v>
      </c>
      <c r="B45" s="18"/>
      <c r="C45" s="18" t="s">
        <v>339</v>
      </c>
      <c r="D45" s="18" t="s">
        <v>340</v>
      </c>
      <c r="E45" s="19">
        <v>9.1984500605E11</v>
      </c>
      <c r="F45" s="18" t="s">
        <v>341</v>
      </c>
      <c r="G45" s="20" t="s">
        <v>342</v>
      </c>
      <c r="H45" s="17"/>
      <c r="I45" s="7"/>
      <c r="J45" s="7"/>
      <c r="K45" s="7"/>
      <c r="L45" s="7"/>
      <c r="M45" s="7"/>
      <c r="N45" s="7"/>
      <c r="O45" s="7"/>
      <c r="P45" s="7"/>
      <c r="Q45" s="7"/>
      <c r="R45" s="7"/>
      <c r="S45" s="7"/>
      <c r="T45" s="7"/>
      <c r="U45" s="7"/>
      <c r="V45" s="7"/>
      <c r="W45" s="7"/>
      <c r="X45" s="7"/>
      <c r="Y45" s="7"/>
      <c r="Z45" s="7"/>
      <c r="AA45" s="7"/>
    </row>
    <row r="46">
      <c r="A46" s="18" t="s">
        <v>347</v>
      </c>
      <c r="B46" s="18"/>
      <c r="C46" s="18" t="s">
        <v>348</v>
      </c>
      <c r="D46" s="18" t="s">
        <v>349</v>
      </c>
      <c r="E46" s="19">
        <v>9.19945874202E11</v>
      </c>
      <c r="F46" s="18" t="s">
        <v>350</v>
      </c>
      <c r="G46" s="20" t="s">
        <v>351</v>
      </c>
      <c r="H46" s="17"/>
      <c r="I46" s="7"/>
      <c r="J46" s="7"/>
      <c r="K46" s="7"/>
      <c r="L46" s="7"/>
      <c r="M46" s="7"/>
      <c r="N46" s="7"/>
      <c r="O46" s="7"/>
      <c r="P46" s="7"/>
      <c r="Q46" s="7"/>
      <c r="R46" s="7"/>
      <c r="S46" s="7"/>
      <c r="T46" s="7"/>
      <c r="U46" s="7"/>
      <c r="V46" s="7"/>
      <c r="W46" s="7"/>
      <c r="X46" s="7"/>
      <c r="Y46" s="7"/>
      <c r="Z46" s="7"/>
      <c r="AA46" s="7"/>
    </row>
    <row r="47">
      <c r="A47" s="32" t="str">
        <f>IFERROR(__xludf.DUMMYFUNCTION("AI(""Fill an appropriate value for this cell based on the table context"")"),"Sarmita Mukherjee")</f>
        <v>Sarmita Mukherjee</v>
      </c>
      <c r="B47" s="18"/>
      <c r="C47" s="18" t="s">
        <v>357</v>
      </c>
      <c r="D47" s="18" t="s">
        <v>121</v>
      </c>
      <c r="E47" s="18"/>
      <c r="F47" s="18" t="s">
        <v>358</v>
      </c>
      <c r="G47" s="20" t="s">
        <v>359</v>
      </c>
      <c r="H47" s="17"/>
      <c r="I47" s="7"/>
      <c r="J47" s="7"/>
      <c r="K47" s="7"/>
      <c r="L47" s="7"/>
      <c r="M47" s="7"/>
      <c r="N47" s="7"/>
      <c r="O47" s="7"/>
      <c r="P47" s="7"/>
      <c r="Q47" s="7"/>
      <c r="R47" s="7"/>
      <c r="S47" s="7"/>
      <c r="T47" s="7"/>
      <c r="U47" s="7"/>
      <c r="V47" s="7"/>
      <c r="W47" s="7"/>
      <c r="X47" s="7"/>
      <c r="Y47" s="7"/>
      <c r="Z47" s="7"/>
      <c r="AA47" s="7"/>
    </row>
    <row r="48">
      <c r="A48" s="41" t="s">
        <v>309</v>
      </c>
      <c r="B48" s="18"/>
      <c r="C48" s="18" t="s">
        <v>310</v>
      </c>
      <c r="D48" s="18" t="s">
        <v>311</v>
      </c>
      <c r="E48" s="19">
        <v>9.18826363651E11</v>
      </c>
      <c r="F48" s="18" t="s">
        <v>313</v>
      </c>
      <c r="G48" s="20" t="s">
        <v>314</v>
      </c>
      <c r="H48" s="17"/>
      <c r="I48" s="7"/>
      <c r="J48" s="7"/>
      <c r="K48" s="7"/>
      <c r="L48" s="7"/>
      <c r="M48" s="7"/>
      <c r="N48" s="7"/>
      <c r="O48" s="7"/>
      <c r="P48" s="7"/>
      <c r="Q48" s="7"/>
      <c r="R48" s="7"/>
      <c r="S48" s="7"/>
      <c r="T48" s="7"/>
      <c r="U48" s="7"/>
      <c r="V48" s="7"/>
      <c r="W48" s="7"/>
      <c r="X48" s="7"/>
      <c r="Y48" s="7"/>
      <c r="Z48" s="7"/>
      <c r="AA48" s="7"/>
    </row>
    <row r="49">
      <c r="A49" s="18" t="s">
        <v>363</v>
      </c>
      <c r="B49" s="18"/>
      <c r="C49" s="18" t="s">
        <v>364</v>
      </c>
      <c r="D49" s="18" t="s">
        <v>365</v>
      </c>
      <c r="E49" s="19">
        <v>9.19030005609E11</v>
      </c>
      <c r="F49" s="18" t="s">
        <v>366</v>
      </c>
      <c r="G49" s="20" t="s">
        <v>368</v>
      </c>
      <c r="H49" s="17"/>
      <c r="I49" s="7"/>
      <c r="J49" s="7"/>
      <c r="K49" s="7"/>
      <c r="L49" s="7"/>
      <c r="M49" s="7"/>
      <c r="N49" s="7"/>
      <c r="O49" s="7"/>
      <c r="P49" s="7"/>
      <c r="Q49" s="7"/>
      <c r="R49" s="7"/>
      <c r="S49" s="7"/>
      <c r="T49" s="7"/>
      <c r="U49" s="7"/>
      <c r="V49" s="7"/>
      <c r="W49" s="7"/>
      <c r="X49" s="7"/>
      <c r="Y49" s="7"/>
      <c r="Z49" s="7"/>
      <c r="AA49" s="7"/>
    </row>
    <row r="50">
      <c r="A50" s="18" t="s">
        <v>372</v>
      </c>
      <c r="B50" s="18"/>
      <c r="C50" s="18" t="s">
        <v>373</v>
      </c>
      <c r="D50" s="18" t="s">
        <v>374</v>
      </c>
      <c r="E50" s="18" t="s">
        <v>375</v>
      </c>
      <c r="F50" s="18"/>
      <c r="G50" s="20" t="s">
        <v>376</v>
      </c>
      <c r="H50" s="17"/>
      <c r="I50" s="7"/>
      <c r="J50" s="7"/>
      <c r="K50" s="7"/>
      <c r="L50" s="7"/>
      <c r="M50" s="7"/>
      <c r="N50" s="7"/>
      <c r="O50" s="7"/>
      <c r="P50" s="7"/>
      <c r="Q50" s="7"/>
      <c r="R50" s="7"/>
      <c r="S50" s="7"/>
      <c r="T50" s="7"/>
      <c r="U50" s="7"/>
      <c r="V50" s="7"/>
      <c r="W50" s="7"/>
      <c r="X50" s="7"/>
      <c r="Y50" s="7"/>
      <c r="Z50" s="7"/>
      <c r="AA50" s="7"/>
    </row>
    <row r="51">
      <c r="A51" s="18" t="s">
        <v>379</v>
      </c>
      <c r="B51" s="18"/>
      <c r="C51" s="18" t="s">
        <v>380</v>
      </c>
      <c r="D51" s="18" t="s">
        <v>374</v>
      </c>
      <c r="E51" s="19">
        <v>9.19535519202E11</v>
      </c>
      <c r="F51" s="18" t="s">
        <v>381</v>
      </c>
      <c r="G51" s="20" t="s">
        <v>382</v>
      </c>
      <c r="H51" s="17"/>
      <c r="I51" s="7"/>
      <c r="J51" s="7"/>
      <c r="K51" s="7"/>
      <c r="L51" s="7"/>
      <c r="M51" s="7"/>
      <c r="N51" s="7"/>
      <c r="O51" s="7"/>
      <c r="P51" s="7"/>
      <c r="Q51" s="7"/>
      <c r="R51" s="7"/>
      <c r="S51" s="7"/>
      <c r="T51" s="7"/>
      <c r="U51" s="7"/>
      <c r="V51" s="7"/>
      <c r="W51" s="7"/>
      <c r="X51" s="7"/>
      <c r="Y51" s="7"/>
      <c r="Z51" s="7"/>
      <c r="AA51" s="7"/>
    </row>
    <row r="52">
      <c r="A52" s="18" t="s">
        <v>383</v>
      </c>
      <c r="B52" s="18"/>
      <c r="C52" s="18" t="s">
        <v>384</v>
      </c>
      <c r="D52" s="18" t="s">
        <v>386</v>
      </c>
      <c r="E52" s="18" t="s">
        <v>388</v>
      </c>
      <c r="F52" s="18" t="s">
        <v>389</v>
      </c>
      <c r="G52" s="20" t="s">
        <v>390</v>
      </c>
      <c r="H52" s="17"/>
      <c r="I52" s="7"/>
      <c r="J52" s="7"/>
      <c r="K52" s="7"/>
      <c r="L52" s="7"/>
      <c r="M52" s="7"/>
      <c r="N52" s="7"/>
      <c r="O52" s="7"/>
      <c r="P52" s="7"/>
      <c r="Q52" s="7"/>
      <c r="R52" s="7"/>
      <c r="S52" s="7"/>
      <c r="T52" s="7"/>
      <c r="U52" s="7"/>
      <c r="V52" s="7"/>
      <c r="W52" s="7"/>
      <c r="X52" s="7"/>
      <c r="Y52" s="7"/>
      <c r="Z52" s="7"/>
      <c r="AA52" s="7"/>
    </row>
    <row r="53">
      <c r="A53" s="18" t="s">
        <v>392</v>
      </c>
      <c r="B53" s="18"/>
      <c r="C53" s="18" t="s">
        <v>395</v>
      </c>
      <c r="D53" s="18" t="s">
        <v>396</v>
      </c>
      <c r="E53" s="19">
        <v>9.19845798193E11</v>
      </c>
      <c r="F53" s="18" t="s">
        <v>397</v>
      </c>
      <c r="G53" s="20" t="s">
        <v>399</v>
      </c>
      <c r="H53" s="17"/>
      <c r="I53" s="7"/>
      <c r="J53" s="7"/>
      <c r="K53" s="7"/>
      <c r="L53" s="7"/>
      <c r="M53" s="7"/>
      <c r="N53" s="7"/>
      <c r="O53" s="7"/>
      <c r="P53" s="7"/>
      <c r="Q53" s="7"/>
      <c r="R53" s="7"/>
      <c r="S53" s="7"/>
      <c r="T53" s="7"/>
      <c r="U53" s="7"/>
      <c r="V53" s="7"/>
      <c r="W53" s="7"/>
      <c r="X53" s="7"/>
      <c r="Y53" s="7"/>
      <c r="Z53" s="7"/>
      <c r="AA53" s="7"/>
    </row>
    <row r="54">
      <c r="A54" s="18" t="s">
        <v>400</v>
      </c>
      <c r="B54" s="18"/>
      <c r="C54" s="18" t="s">
        <v>401</v>
      </c>
      <c r="D54" s="18" t="s">
        <v>402</v>
      </c>
      <c r="E54" s="19">
        <v>9.18066411544E11</v>
      </c>
      <c r="F54" s="18" t="s">
        <v>403</v>
      </c>
      <c r="G54" s="20" t="s">
        <v>404</v>
      </c>
      <c r="H54" s="17"/>
      <c r="I54" s="7"/>
      <c r="J54" s="7"/>
      <c r="K54" s="7"/>
      <c r="L54" s="7"/>
      <c r="M54" s="7"/>
      <c r="N54" s="7"/>
      <c r="O54" s="7"/>
      <c r="P54" s="7"/>
      <c r="Q54" s="7"/>
      <c r="R54" s="7"/>
      <c r="S54" s="7"/>
      <c r="T54" s="7"/>
      <c r="U54" s="7"/>
      <c r="V54" s="7"/>
      <c r="W54" s="7"/>
      <c r="X54" s="7"/>
      <c r="Y54" s="7"/>
      <c r="Z54" s="7"/>
      <c r="AA54" s="7"/>
    </row>
    <row r="55">
      <c r="A55" s="18" t="s">
        <v>408</v>
      </c>
      <c r="B55" s="18"/>
      <c r="C55" s="18" t="s">
        <v>409</v>
      </c>
      <c r="D55" s="18" t="s">
        <v>410</v>
      </c>
      <c r="E55" s="19">
        <v>9.17829915102E11</v>
      </c>
      <c r="F55" s="18" t="s">
        <v>411</v>
      </c>
      <c r="G55" s="20" t="s">
        <v>412</v>
      </c>
      <c r="H55" s="17"/>
      <c r="I55" s="7"/>
      <c r="J55" s="7"/>
      <c r="K55" s="7"/>
      <c r="L55" s="7"/>
      <c r="M55" s="7"/>
      <c r="N55" s="7"/>
      <c r="O55" s="7"/>
      <c r="P55" s="7"/>
      <c r="Q55" s="7"/>
      <c r="R55" s="7"/>
      <c r="S55" s="7"/>
      <c r="T55" s="7"/>
      <c r="U55" s="7"/>
      <c r="V55" s="7"/>
      <c r="W55" s="7"/>
      <c r="X55" s="7"/>
      <c r="Y55" s="7"/>
      <c r="Z55" s="7"/>
      <c r="AA55" s="7"/>
    </row>
    <row r="56">
      <c r="A56" s="18" t="s">
        <v>413</v>
      </c>
      <c r="B56" s="18"/>
      <c r="C56" s="18" t="s">
        <v>414</v>
      </c>
      <c r="D56" s="18" t="s">
        <v>415</v>
      </c>
      <c r="E56" s="19">
        <v>9.1974222065E11</v>
      </c>
      <c r="F56" s="18" t="s">
        <v>416</v>
      </c>
      <c r="G56" s="20" t="s">
        <v>417</v>
      </c>
      <c r="H56" s="17"/>
      <c r="I56" s="7"/>
      <c r="J56" s="7"/>
      <c r="K56" s="7"/>
      <c r="L56" s="7"/>
      <c r="M56" s="7"/>
      <c r="N56" s="7"/>
      <c r="O56" s="7"/>
      <c r="P56" s="7"/>
      <c r="Q56" s="7"/>
      <c r="R56" s="7"/>
      <c r="S56" s="7"/>
      <c r="T56" s="7"/>
      <c r="U56" s="7"/>
      <c r="V56" s="7"/>
      <c r="W56" s="7"/>
      <c r="X56" s="7"/>
      <c r="Y56" s="7"/>
      <c r="Z56" s="7"/>
      <c r="AA56" s="7"/>
    </row>
    <row r="57">
      <c r="A57" s="18" t="s">
        <v>418</v>
      </c>
      <c r="B57" s="18"/>
      <c r="C57" s="18" t="s">
        <v>419</v>
      </c>
      <c r="D57" s="18" t="s">
        <v>420</v>
      </c>
      <c r="E57" s="19">
        <v>9.19902199588E11</v>
      </c>
      <c r="F57" s="18" t="s">
        <v>422</v>
      </c>
      <c r="G57" s="20" t="s">
        <v>424</v>
      </c>
      <c r="H57" s="17"/>
      <c r="I57" s="7"/>
      <c r="J57" s="7"/>
      <c r="K57" s="7"/>
      <c r="L57" s="7"/>
      <c r="M57" s="7"/>
      <c r="N57" s="7"/>
      <c r="O57" s="7"/>
      <c r="P57" s="7"/>
      <c r="Q57" s="7"/>
      <c r="R57" s="7"/>
      <c r="S57" s="7"/>
      <c r="T57" s="7"/>
      <c r="U57" s="7"/>
      <c r="V57" s="7"/>
      <c r="W57" s="7"/>
      <c r="X57" s="7"/>
      <c r="Y57" s="7"/>
      <c r="Z57" s="7"/>
      <c r="AA57" s="7"/>
    </row>
    <row r="58">
      <c r="A58" s="18" t="s">
        <v>426</v>
      </c>
      <c r="B58" s="18"/>
      <c r="C58" s="18" t="s">
        <v>427</v>
      </c>
      <c r="D58" s="18" t="s">
        <v>428</v>
      </c>
      <c r="E58" s="18" t="s">
        <v>429</v>
      </c>
      <c r="F58" s="18" t="s">
        <v>430</v>
      </c>
      <c r="G58" s="20" t="s">
        <v>431</v>
      </c>
      <c r="H58" s="17"/>
      <c r="I58" s="7"/>
      <c r="J58" s="7"/>
      <c r="K58" s="7"/>
      <c r="L58" s="7"/>
      <c r="M58" s="7"/>
      <c r="N58" s="7"/>
      <c r="O58" s="7"/>
      <c r="P58" s="7"/>
      <c r="Q58" s="7"/>
      <c r="R58" s="7"/>
      <c r="S58" s="7"/>
      <c r="T58" s="7"/>
      <c r="U58" s="7"/>
      <c r="V58" s="7"/>
      <c r="W58" s="7"/>
      <c r="X58" s="7"/>
      <c r="Y58" s="7"/>
      <c r="Z58" s="7"/>
      <c r="AA58" s="7"/>
    </row>
    <row r="59">
      <c r="A59" s="18" t="s">
        <v>435</v>
      </c>
      <c r="B59" s="18"/>
      <c r="C59" s="18" t="s">
        <v>436</v>
      </c>
      <c r="D59" s="18" t="s">
        <v>437</v>
      </c>
      <c r="E59" s="19">
        <v>9.18904374498E11</v>
      </c>
      <c r="F59" s="18" t="s">
        <v>438</v>
      </c>
      <c r="G59" s="20" t="s">
        <v>439</v>
      </c>
      <c r="H59" s="17"/>
      <c r="I59" s="7"/>
      <c r="J59" s="7"/>
      <c r="K59" s="7"/>
      <c r="L59" s="7"/>
      <c r="M59" s="7"/>
      <c r="N59" s="7"/>
      <c r="O59" s="7"/>
      <c r="P59" s="7"/>
      <c r="Q59" s="7"/>
      <c r="R59" s="7"/>
      <c r="S59" s="7"/>
      <c r="T59" s="7"/>
      <c r="U59" s="7"/>
      <c r="V59" s="7"/>
      <c r="W59" s="7"/>
      <c r="X59" s="7"/>
      <c r="Y59" s="7"/>
      <c r="Z59" s="7"/>
      <c r="AA59" s="7"/>
    </row>
    <row r="60">
      <c r="A60" s="18" t="s">
        <v>444</v>
      </c>
      <c r="B60" s="18"/>
      <c r="C60" s="18" t="s">
        <v>445</v>
      </c>
      <c r="D60" s="18" t="s">
        <v>20</v>
      </c>
      <c r="E60" s="18" t="s">
        <v>449</v>
      </c>
      <c r="F60" s="18" t="s">
        <v>450</v>
      </c>
      <c r="G60" s="20" t="s">
        <v>451</v>
      </c>
      <c r="H60" s="17"/>
      <c r="I60" s="7"/>
      <c r="J60" s="7"/>
      <c r="K60" s="7"/>
      <c r="L60" s="7"/>
      <c r="M60" s="7"/>
      <c r="N60" s="7"/>
      <c r="O60" s="7"/>
      <c r="P60" s="7"/>
      <c r="Q60" s="7"/>
      <c r="R60" s="7"/>
      <c r="S60" s="7"/>
      <c r="T60" s="7"/>
      <c r="U60" s="7"/>
      <c r="V60" s="7"/>
      <c r="W60" s="7"/>
      <c r="X60" s="7"/>
      <c r="Y60" s="7"/>
      <c r="Z60" s="7"/>
      <c r="AA60" s="7"/>
    </row>
    <row r="61">
      <c r="A61" s="18" t="s">
        <v>453</v>
      </c>
      <c r="B61" s="18"/>
      <c r="C61" s="47" t="s">
        <v>454</v>
      </c>
      <c r="D61" s="18" t="s">
        <v>87</v>
      </c>
      <c r="E61" s="18"/>
      <c r="F61" s="18" t="s">
        <v>463</v>
      </c>
      <c r="G61" s="20" t="s">
        <v>464</v>
      </c>
      <c r="H61" s="17"/>
      <c r="I61" s="7"/>
      <c r="J61" s="7"/>
      <c r="K61" s="7"/>
      <c r="L61" s="7" t="s">
        <v>470</v>
      </c>
      <c r="M61" s="7"/>
      <c r="N61" s="7"/>
      <c r="O61" s="7"/>
      <c r="P61" s="7"/>
      <c r="Q61" s="7"/>
      <c r="R61" s="7"/>
      <c r="S61" s="7"/>
      <c r="T61" s="7"/>
      <c r="U61" s="7"/>
      <c r="V61" s="7"/>
      <c r="W61" s="7"/>
      <c r="X61" s="7"/>
      <c r="Y61" s="7"/>
      <c r="Z61" s="7"/>
      <c r="AA61" s="7"/>
    </row>
    <row r="62">
      <c r="A62" s="18" t="s">
        <v>471</v>
      </c>
      <c r="B62" s="18"/>
      <c r="C62" s="47" t="s">
        <v>472</v>
      </c>
      <c r="D62" s="18" t="s">
        <v>473</v>
      </c>
      <c r="E62" s="19">
        <v>9.19008719627E11</v>
      </c>
      <c r="F62" s="18" t="s">
        <v>474</v>
      </c>
      <c r="G62" s="20" t="s">
        <v>475</v>
      </c>
      <c r="H62" s="17"/>
      <c r="I62" s="7"/>
      <c r="J62" s="7"/>
      <c r="K62" s="7"/>
      <c r="L62" s="7"/>
      <c r="M62" s="7"/>
      <c r="N62" s="7"/>
      <c r="O62" s="7"/>
      <c r="P62" s="7"/>
      <c r="Q62" s="7"/>
      <c r="R62" s="7"/>
      <c r="S62" s="7"/>
      <c r="T62" s="7"/>
      <c r="U62" s="7"/>
      <c r="V62" s="7"/>
      <c r="W62" s="7"/>
      <c r="X62" s="7"/>
      <c r="Y62" s="7"/>
      <c r="Z62" s="7"/>
      <c r="AA62" s="7"/>
    </row>
    <row r="63">
      <c r="A63" s="32" t="str">
        <f>IFERROR(__xludf.DUMMYFUNCTION("AI(""Fill an appropriate value for this cell based on the table context"")"),"Pratyush Nandkeolyaar")</f>
        <v>Pratyush Nandkeolyaar</v>
      </c>
      <c r="B63" s="18"/>
      <c r="C63" s="47" t="s">
        <v>480</v>
      </c>
      <c r="D63" s="18"/>
      <c r="E63" s="18"/>
      <c r="F63" s="18"/>
      <c r="G63" s="18"/>
      <c r="H63" s="17"/>
      <c r="I63" s="7"/>
      <c r="J63" s="7"/>
      <c r="K63" s="7"/>
      <c r="L63" s="7"/>
      <c r="M63" s="7"/>
      <c r="N63" s="7"/>
      <c r="O63" s="7"/>
      <c r="P63" s="7"/>
      <c r="Q63" s="7"/>
      <c r="R63" s="7"/>
      <c r="S63" s="7"/>
      <c r="T63" s="7"/>
      <c r="U63" s="7"/>
      <c r="V63" s="7"/>
      <c r="W63" s="7"/>
      <c r="X63" s="7"/>
      <c r="Y63" s="7"/>
      <c r="Z63" s="7"/>
      <c r="AA63" s="7"/>
    </row>
    <row r="64">
      <c r="A64" s="18" t="s">
        <v>481</v>
      </c>
      <c r="B64" s="18"/>
      <c r="C64" s="18" t="s">
        <v>482</v>
      </c>
      <c r="D64" s="18" t="s">
        <v>20</v>
      </c>
      <c r="E64" s="18" t="s">
        <v>483</v>
      </c>
      <c r="F64" s="18" t="s">
        <v>484</v>
      </c>
      <c r="G64" s="20" t="s">
        <v>485</v>
      </c>
      <c r="H64" s="17"/>
      <c r="I64" s="7"/>
      <c r="J64" s="7"/>
      <c r="K64" s="7"/>
      <c r="L64" s="7"/>
      <c r="M64" s="7"/>
      <c r="N64" s="7"/>
      <c r="O64" s="7"/>
      <c r="P64" s="7"/>
      <c r="Q64" s="7"/>
      <c r="R64" s="7"/>
      <c r="S64" s="7"/>
      <c r="T64" s="7"/>
      <c r="U64" s="7"/>
      <c r="V64" s="7"/>
      <c r="W64" s="7"/>
      <c r="X64" s="7"/>
      <c r="Y64" s="7"/>
      <c r="Z64" s="7"/>
      <c r="AA64" s="7"/>
    </row>
    <row r="65">
      <c r="A65" s="18" t="s">
        <v>490</v>
      </c>
      <c r="B65" s="18"/>
      <c r="C65" s="18" t="s">
        <v>491</v>
      </c>
      <c r="D65" s="18" t="s">
        <v>87</v>
      </c>
      <c r="E65" s="19">
        <v>9.19886062599E11</v>
      </c>
      <c r="F65" s="18" t="s">
        <v>492</v>
      </c>
      <c r="G65" s="20" t="s">
        <v>493</v>
      </c>
      <c r="H65" s="17"/>
      <c r="I65" s="7"/>
      <c r="J65" s="7"/>
      <c r="K65" s="7"/>
      <c r="L65" s="7"/>
      <c r="M65" s="7"/>
      <c r="N65" s="7"/>
      <c r="O65" s="7"/>
      <c r="P65" s="7"/>
      <c r="Q65" s="7"/>
      <c r="R65" s="7"/>
      <c r="S65" s="7"/>
      <c r="T65" s="7"/>
      <c r="U65" s="7"/>
      <c r="V65" s="7"/>
      <c r="W65" s="7"/>
      <c r="X65" s="7"/>
      <c r="Y65" s="7"/>
      <c r="Z65" s="7"/>
      <c r="AA65" s="7"/>
    </row>
    <row r="66">
      <c r="A66" s="18" t="s">
        <v>497</v>
      </c>
      <c r="B66" s="18"/>
      <c r="C66" s="18" t="s">
        <v>498</v>
      </c>
      <c r="D66" s="18" t="s">
        <v>499</v>
      </c>
      <c r="E66" s="19">
        <v>9.19663881842E11</v>
      </c>
      <c r="F66" s="18" t="s">
        <v>500</v>
      </c>
      <c r="G66" s="20" t="s">
        <v>501</v>
      </c>
      <c r="H66" s="17"/>
      <c r="I66" s="7"/>
      <c r="J66" s="7"/>
      <c r="K66" s="7"/>
      <c r="L66" s="7"/>
      <c r="M66" s="7"/>
      <c r="N66" s="7"/>
      <c r="O66" s="7"/>
      <c r="P66" s="7"/>
      <c r="Q66" s="7"/>
      <c r="R66" s="7"/>
      <c r="S66" s="7"/>
      <c r="T66" s="7"/>
      <c r="U66" s="7"/>
      <c r="V66" s="7"/>
      <c r="W66" s="7"/>
      <c r="X66" s="7"/>
      <c r="Y66" s="7"/>
      <c r="Z66" s="7"/>
      <c r="AA66" s="7"/>
    </row>
    <row r="67">
      <c r="A67" s="18" t="s">
        <v>504</v>
      </c>
      <c r="B67" s="18"/>
      <c r="C67" s="18" t="s">
        <v>505</v>
      </c>
      <c r="D67" s="18" t="s">
        <v>506</v>
      </c>
      <c r="E67" s="18" t="s">
        <v>507</v>
      </c>
      <c r="F67" s="18" t="s">
        <v>508</v>
      </c>
      <c r="G67" s="20" t="s">
        <v>509</v>
      </c>
      <c r="H67" s="17"/>
      <c r="I67" s="7"/>
      <c r="J67" s="7"/>
      <c r="K67" s="7"/>
      <c r="L67" s="7"/>
      <c r="M67" s="7"/>
      <c r="N67" s="7"/>
      <c r="O67" s="7"/>
      <c r="P67" s="7"/>
      <c r="Q67" s="7"/>
      <c r="R67" s="7"/>
      <c r="S67" s="7"/>
      <c r="T67" s="7"/>
      <c r="U67" s="7"/>
      <c r="V67" s="7"/>
      <c r="W67" s="7"/>
      <c r="X67" s="7"/>
      <c r="Y67" s="7"/>
      <c r="Z67" s="7"/>
      <c r="AA67" s="7"/>
    </row>
    <row r="68">
      <c r="A68" s="18" t="s">
        <v>523</v>
      </c>
      <c r="B68" s="18"/>
      <c r="C68" s="18" t="s">
        <v>524</v>
      </c>
      <c r="D68" s="18" t="s">
        <v>525</v>
      </c>
      <c r="E68" s="18" t="s">
        <v>526</v>
      </c>
      <c r="F68" s="18" t="s">
        <v>527</v>
      </c>
      <c r="G68" s="20" t="s">
        <v>528</v>
      </c>
      <c r="H68" s="17"/>
      <c r="I68" s="7"/>
      <c r="J68" s="7"/>
      <c r="K68" s="7"/>
      <c r="L68" s="7"/>
      <c r="M68" s="7"/>
      <c r="N68" s="7"/>
      <c r="O68" s="7"/>
      <c r="P68" s="7"/>
      <c r="Q68" s="7"/>
      <c r="R68" s="7"/>
      <c r="S68" s="7"/>
      <c r="T68" s="7"/>
      <c r="U68" s="7"/>
      <c r="V68" s="7"/>
      <c r="W68" s="7"/>
      <c r="X68" s="7"/>
      <c r="Y68" s="7"/>
      <c r="Z68" s="7"/>
      <c r="AA68" s="7"/>
    </row>
    <row r="69">
      <c r="A69" s="18" t="s">
        <v>531</v>
      </c>
      <c r="B69" s="18"/>
      <c r="C69" s="18" t="s">
        <v>532</v>
      </c>
      <c r="D69" s="18" t="s">
        <v>533</v>
      </c>
      <c r="E69" s="19">
        <v>6111.0</v>
      </c>
      <c r="F69" s="18" t="s">
        <v>535</v>
      </c>
      <c r="G69" s="20" t="s">
        <v>538</v>
      </c>
      <c r="H69" s="17"/>
      <c r="I69" s="7"/>
      <c r="J69" s="7"/>
      <c r="K69" s="7"/>
      <c r="L69" s="7"/>
      <c r="M69" s="7"/>
      <c r="N69" s="7"/>
      <c r="O69" s="7"/>
      <c r="P69" s="7"/>
      <c r="Q69" s="7"/>
      <c r="R69" s="7"/>
      <c r="S69" s="7"/>
      <c r="T69" s="7"/>
      <c r="U69" s="7"/>
      <c r="V69" s="7"/>
      <c r="W69" s="7"/>
      <c r="X69" s="7"/>
      <c r="Y69" s="7"/>
      <c r="Z69" s="7"/>
      <c r="AA69" s="7"/>
    </row>
    <row r="70">
      <c r="A70" s="18" t="s">
        <v>541</v>
      </c>
      <c r="B70" s="18"/>
      <c r="C70" s="18" t="s">
        <v>544</v>
      </c>
      <c r="D70" s="18" t="s">
        <v>158</v>
      </c>
      <c r="E70" s="19">
        <v>9.19663382704E11</v>
      </c>
      <c r="F70" s="18" t="s">
        <v>545</v>
      </c>
      <c r="G70" s="20" t="s">
        <v>546</v>
      </c>
      <c r="H70" s="17"/>
      <c r="I70" s="7"/>
      <c r="J70" s="7"/>
      <c r="K70" s="7"/>
      <c r="L70" s="7"/>
      <c r="M70" s="7"/>
      <c r="N70" s="7"/>
      <c r="O70" s="7"/>
      <c r="P70" s="7"/>
      <c r="Q70" s="7"/>
      <c r="R70" s="7"/>
      <c r="S70" s="7"/>
      <c r="T70" s="7"/>
      <c r="U70" s="7"/>
      <c r="V70" s="7"/>
      <c r="W70" s="7"/>
      <c r="X70" s="7"/>
      <c r="Y70" s="7"/>
      <c r="Z70" s="7"/>
      <c r="AA70" s="7"/>
    </row>
    <row r="71">
      <c r="A71" s="18" t="s">
        <v>549</v>
      </c>
      <c r="B71" s="18"/>
      <c r="C71" s="18" t="s">
        <v>550</v>
      </c>
      <c r="D71" s="18" t="s">
        <v>87</v>
      </c>
      <c r="E71" s="18" t="s">
        <v>551</v>
      </c>
      <c r="F71" s="18" t="s">
        <v>552</v>
      </c>
      <c r="G71" s="20" t="s">
        <v>553</v>
      </c>
      <c r="H71" s="17"/>
      <c r="I71" s="7"/>
      <c r="J71" s="7"/>
      <c r="K71" s="7"/>
      <c r="L71" s="7"/>
      <c r="M71" s="7"/>
      <c r="N71" s="7"/>
      <c r="O71" s="7"/>
      <c r="P71" s="7"/>
      <c r="Q71" s="7"/>
      <c r="R71" s="7"/>
      <c r="S71" s="7"/>
      <c r="T71" s="7"/>
      <c r="U71" s="7"/>
      <c r="V71" s="7"/>
      <c r="W71" s="7"/>
      <c r="X71" s="7"/>
      <c r="Y71" s="7"/>
      <c r="Z71" s="7"/>
      <c r="AA71" s="7"/>
    </row>
    <row r="72">
      <c r="A72" s="41" t="s">
        <v>558</v>
      </c>
      <c r="B72" s="18"/>
      <c r="C72" s="18" t="s">
        <v>559</v>
      </c>
      <c r="D72" s="18" t="s">
        <v>331</v>
      </c>
      <c r="E72" s="19">
        <v>9.19891026445E11</v>
      </c>
      <c r="F72" s="18" t="s">
        <v>560</v>
      </c>
      <c r="G72" s="20" t="s">
        <v>561</v>
      </c>
      <c r="H72" s="17" t="s">
        <v>562</v>
      </c>
      <c r="I72" s="7"/>
      <c r="J72" s="7"/>
      <c r="K72" s="7"/>
      <c r="L72" s="7"/>
      <c r="M72" s="7"/>
      <c r="N72" s="7"/>
      <c r="O72" s="7"/>
      <c r="P72" s="7"/>
      <c r="Q72" s="7"/>
      <c r="R72" s="7"/>
      <c r="S72" s="7"/>
      <c r="T72" s="7"/>
      <c r="U72" s="7"/>
      <c r="V72" s="7"/>
      <c r="W72" s="7"/>
      <c r="X72" s="7"/>
      <c r="Y72" s="7"/>
      <c r="Z72" s="7"/>
      <c r="AA72" s="7"/>
    </row>
    <row r="73">
      <c r="A73" s="18" t="s">
        <v>564</v>
      </c>
      <c r="B73" s="18"/>
      <c r="C73" s="18" t="s">
        <v>566</v>
      </c>
      <c r="D73" s="18" t="s">
        <v>87</v>
      </c>
      <c r="E73" s="18"/>
      <c r="F73" s="18" t="s">
        <v>567</v>
      </c>
      <c r="G73" s="20" t="s">
        <v>569</v>
      </c>
      <c r="H73" s="17"/>
      <c r="I73" s="7"/>
      <c r="J73" s="7"/>
      <c r="K73" s="7"/>
      <c r="L73" s="7"/>
      <c r="M73" s="7"/>
      <c r="N73" s="7"/>
      <c r="O73" s="7"/>
      <c r="P73" s="7"/>
      <c r="Q73" s="7"/>
      <c r="R73" s="7"/>
      <c r="S73" s="7"/>
      <c r="T73" s="7"/>
      <c r="U73" s="7"/>
      <c r="V73" s="7"/>
      <c r="W73" s="7"/>
      <c r="X73" s="7"/>
      <c r="Y73" s="7"/>
      <c r="Z73" s="7"/>
      <c r="AA73" s="7"/>
    </row>
    <row r="74">
      <c r="A74" s="18" t="s">
        <v>573</v>
      </c>
      <c r="B74" s="18"/>
      <c r="C74" s="18" t="s">
        <v>574</v>
      </c>
      <c r="D74" s="18" t="s">
        <v>575</v>
      </c>
      <c r="E74" s="18"/>
      <c r="F74" s="18" t="s">
        <v>576</v>
      </c>
      <c r="G74" s="20" t="s">
        <v>577</v>
      </c>
      <c r="H74" s="17"/>
      <c r="I74" s="7"/>
      <c r="J74" s="7"/>
      <c r="K74" s="7"/>
      <c r="L74" s="7"/>
      <c r="M74" s="7"/>
      <c r="N74" s="7"/>
      <c r="O74" s="7"/>
      <c r="P74" s="7"/>
      <c r="Q74" s="7"/>
      <c r="R74" s="7"/>
      <c r="S74" s="7"/>
      <c r="T74" s="7"/>
      <c r="U74" s="7"/>
      <c r="V74" s="7"/>
      <c r="W74" s="7"/>
      <c r="X74" s="7"/>
      <c r="Y74" s="7"/>
      <c r="Z74" s="7"/>
      <c r="AA74" s="7"/>
    </row>
    <row r="75">
      <c r="A75" s="41" t="s">
        <v>584</v>
      </c>
      <c r="B75" s="18"/>
      <c r="C75" s="18" t="s">
        <v>585</v>
      </c>
      <c r="D75" s="18" t="s">
        <v>87</v>
      </c>
      <c r="E75" s="19">
        <v>9.19886128757E11</v>
      </c>
      <c r="F75" s="18"/>
      <c r="G75" s="20" t="s">
        <v>586</v>
      </c>
      <c r="H75" s="17" t="s">
        <v>592</v>
      </c>
      <c r="I75" s="7"/>
      <c r="J75" s="7"/>
      <c r="K75" s="7"/>
      <c r="L75" s="7"/>
      <c r="M75" s="7"/>
      <c r="N75" s="7"/>
      <c r="O75" s="7"/>
      <c r="P75" s="7"/>
      <c r="Q75" s="7"/>
      <c r="R75" s="7"/>
      <c r="S75" s="7"/>
      <c r="T75" s="7"/>
      <c r="U75" s="7"/>
      <c r="V75" s="7"/>
      <c r="W75" s="7"/>
      <c r="X75" s="7"/>
      <c r="Y75" s="7"/>
      <c r="Z75" s="7"/>
      <c r="AA75" s="7"/>
    </row>
    <row r="76">
      <c r="A76" s="18" t="s">
        <v>593</v>
      </c>
      <c r="B76" s="18"/>
      <c r="C76" s="18" t="s">
        <v>594</v>
      </c>
      <c r="D76" s="18" t="s">
        <v>595</v>
      </c>
      <c r="E76" s="19">
        <v>9.18867164339E11</v>
      </c>
      <c r="F76" s="18"/>
      <c r="G76" s="20" t="s">
        <v>596</v>
      </c>
      <c r="H76" s="17"/>
      <c r="I76" s="7"/>
      <c r="J76" s="7"/>
      <c r="K76" s="7"/>
      <c r="L76" s="7"/>
      <c r="M76" s="7"/>
      <c r="N76" s="7"/>
      <c r="O76" s="7"/>
      <c r="P76" s="7"/>
      <c r="Q76" s="7"/>
      <c r="R76" s="7"/>
      <c r="S76" s="7"/>
      <c r="T76" s="7"/>
      <c r="U76" s="7"/>
      <c r="V76" s="7"/>
      <c r="W76" s="7"/>
      <c r="X76" s="7"/>
      <c r="Y76" s="7"/>
      <c r="Z76" s="7"/>
      <c r="AA76" s="7"/>
    </row>
    <row r="77">
      <c r="A77" s="18" t="s">
        <v>599</v>
      </c>
      <c r="B77" s="18"/>
      <c r="C77" s="18" t="s">
        <v>600</v>
      </c>
      <c r="D77" s="18" t="s">
        <v>331</v>
      </c>
      <c r="E77" s="19">
        <v>9.17506056555E11</v>
      </c>
      <c r="F77" s="18" t="s">
        <v>601</v>
      </c>
      <c r="G77" s="20" t="s">
        <v>602</v>
      </c>
      <c r="H77" s="17"/>
      <c r="I77" s="7"/>
      <c r="J77" s="7"/>
      <c r="K77" s="7"/>
      <c r="L77" s="7"/>
      <c r="M77" s="7"/>
      <c r="N77" s="7"/>
      <c r="O77" s="7"/>
      <c r="P77" s="7"/>
      <c r="Q77" s="7"/>
      <c r="R77" s="7"/>
      <c r="S77" s="7"/>
      <c r="T77" s="7"/>
      <c r="U77" s="7"/>
      <c r="V77" s="7"/>
      <c r="W77" s="7"/>
      <c r="X77" s="7"/>
      <c r="Y77" s="7"/>
      <c r="Z77" s="7"/>
      <c r="AA77" s="7"/>
    </row>
    <row r="78">
      <c r="A78" s="18" t="s">
        <v>605</v>
      </c>
      <c r="B78" s="18"/>
      <c r="C78" s="18" t="s">
        <v>606</v>
      </c>
      <c r="D78" s="18" t="s">
        <v>607</v>
      </c>
      <c r="E78" s="19">
        <v>9.19900127426E11</v>
      </c>
      <c r="F78" s="18" t="s">
        <v>608</v>
      </c>
      <c r="G78" s="20" t="s">
        <v>610</v>
      </c>
      <c r="H78" s="17"/>
      <c r="I78" s="7"/>
      <c r="J78" s="7"/>
      <c r="K78" s="7"/>
      <c r="L78" s="7"/>
      <c r="M78" s="7"/>
      <c r="N78" s="7"/>
      <c r="O78" s="7"/>
      <c r="P78" s="7"/>
      <c r="Q78" s="7"/>
      <c r="R78" s="7"/>
      <c r="S78" s="7"/>
      <c r="T78" s="7"/>
      <c r="U78" s="7"/>
      <c r="V78" s="7"/>
      <c r="W78" s="7"/>
      <c r="X78" s="7"/>
      <c r="Y78" s="7"/>
      <c r="Z78" s="7"/>
      <c r="AA78" s="7"/>
    </row>
    <row r="79">
      <c r="A79" s="18" t="s">
        <v>615</v>
      </c>
      <c r="B79" s="18"/>
      <c r="C79" s="18" t="s">
        <v>617</v>
      </c>
      <c r="D79" s="18" t="s">
        <v>87</v>
      </c>
      <c r="E79" s="19">
        <v>9.19663654419E11</v>
      </c>
      <c r="F79" s="18" t="s">
        <v>618</v>
      </c>
      <c r="G79" s="20" t="s">
        <v>619</v>
      </c>
      <c r="H79" s="17"/>
      <c r="I79" s="7"/>
      <c r="J79" s="7"/>
      <c r="K79" s="7"/>
      <c r="L79" s="7"/>
      <c r="M79" s="7"/>
      <c r="N79" s="7"/>
      <c r="O79" s="7"/>
      <c r="P79" s="7"/>
      <c r="Q79" s="7"/>
      <c r="R79" s="7"/>
      <c r="S79" s="7"/>
      <c r="T79" s="7"/>
      <c r="U79" s="7"/>
      <c r="V79" s="7"/>
      <c r="W79" s="7"/>
      <c r="X79" s="7"/>
      <c r="Y79" s="7"/>
      <c r="Z79" s="7"/>
      <c r="AA79" s="7"/>
    </row>
    <row r="80">
      <c r="A80" s="18" t="s">
        <v>622</v>
      </c>
      <c r="B80" s="18"/>
      <c r="C80" s="18" t="s">
        <v>273</v>
      </c>
      <c r="D80" s="18" t="s">
        <v>87</v>
      </c>
      <c r="E80" s="19">
        <v>9.19900105599E11</v>
      </c>
      <c r="F80" s="18" t="s">
        <v>623</v>
      </c>
      <c r="G80" s="20" t="s">
        <v>624</v>
      </c>
      <c r="H80" s="17"/>
      <c r="I80" s="7"/>
      <c r="J80" s="7"/>
      <c r="K80" s="7"/>
      <c r="L80" s="7"/>
      <c r="M80" s="7"/>
      <c r="N80" s="7"/>
      <c r="O80" s="7"/>
      <c r="P80" s="7"/>
      <c r="Q80" s="7"/>
      <c r="R80" s="7"/>
      <c r="S80" s="7"/>
      <c r="T80" s="7"/>
      <c r="U80" s="7"/>
      <c r="V80" s="7"/>
      <c r="W80" s="7"/>
      <c r="X80" s="7"/>
      <c r="Y80" s="7"/>
      <c r="Z80" s="7"/>
      <c r="AA80" s="7"/>
    </row>
    <row r="81">
      <c r="A81" s="18" t="s">
        <v>628</v>
      </c>
      <c r="B81" s="18"/>
      <c r="C81" s="18" t="s">
        <v>629</v>
      </c>
      <c r="D81" s="18" t="s">
        <v>374</v>
      </c>
      <c r="E81" s="19">
        <v>9.19945560129E11</v>
      </c>
      <c r="F81" s="18" t="s">
        <v>630</v>
      </c>
      <c r="G81" s="20" t="s">
        <v>631</v>
      </c>
      <c r="H81" s="17"/>
      <c r="I81" s="7"/>
      <c r="J81" s="7"/>
      <c r="K81" s="7"/>
      <c r="L81" s="7"/>
      <c r="M81" s="7"/>
      <c r="N81" s="7"/>
      <c r="O81" s="7"/>
      <c r="P81" s="7"/>
      <c r="Q81" s="7"/>
      <c r="R81" s="7"/>
      <c r="S81" s="7"/>
      <c r="T81" s="7"/>
      <c r="U81" s="7"/>
      <c r="V81" s="7"/>
      <c r="W81" s="7"/>
      <c r="X81" s="7"/>
      <c r="Y81" s="7"/>
      <c r="Z81" s="7"/>
      <c r="AA81" s="7"/>
    </row>
    <row r="82">
      <c r="A82" s="18" t="s">
        <v>635</v>
      </c>
      <c r="B82" s="18"/>
      <c r="C82" s="18" t="s">
        <v>636</v>
      </c>
      <c r="D82" s="18" t="s">
        <v>283</v>
      </c>
      <c r="E82" s="19">
        <v>9.19845900804E11</v>
      </c>
      <c r="F82" s="18"/>
      <c r="G82" s="20" t="s">
        <v>637</v>
      </c>
      <c r="H82" s="17"/>
      <c r="I82" s="7"/>
      <c r="J82" s="7"/>
      <c r="K82" s="7"/>
      <c r="L82" s="7"/>
      <c r="M82" s="7"/>
      <c r="N82" s="7"/>
      <c r="O82" s="7"/>
      <c r="P82" s="7"/>
      <c r="Q82" s="7"/>
      <c r="R82" s="7"/>
      <c r="S82" s="7"/>
      <c r="T82" s="7"/>
      <c r="U82" s="7"/>
      <c r="V82" s="7"/>
      <c r="W82" s="7"/>
      <c r="X82" s="7"/>
      <c r="Y82" s="7"/>
      <c r="Z82" s="7"/>
      <c r="AA82" s="7"/>
    </row>
    <row r="83">
      <c r="A83" s="18" t="s">
        <v>639</v>
      </c>
      <c r="B83" s="18"/>
      <c r="C83" s="20" t="s">
        <v>640</v>
      </c>
      <c r="D83" s="18" t="s">
        <v>646</v>
      </c>
      <c r="E83" s="19">
        <v>9.19880305842E11</v>
      </c>
      <c r="F83" s="18" t="s">
        <v>647</v>
      </c>
      <c r="G83" s="20" t="s">
        <v>648</v>
      </c>
      <c r="H83" s="17"/>
      <c r="I83" s="7"/>
      <c r="J83" s="7"/>
      <c r="K83" s="7"/>
      <c r="L83" s="7"/>
      <c r="M83" s="7"/>
      <c r="N83" s="7"/>
      <c r="O83" s="7"/>
      <c r="P83" s="7"/>
      <c r="Q83" s="7"/>
      <c r="R83" s="7"/>
      <c r="S83" s="7"/>
      <c r="T83" s="7"/>
      <c r="U83" s="7"/>
      <c r="V83" s="7"/>
      <c r="W83" s="7"/>
      <c r="X83" s="7"/>
      <c r="Y83" s="7"/>
      <c r="Z83" s="7"/>
      <c r="AA83" s="7"/>
    </row>
    <row r="84">
      <c r="A84" s="18" t="s">
        <v>655</v>
      </c>
      <c r="B84" s="18"/>
      <c r="C84" s="18" t="s">
        <v>656</v>
      </c>
      <c r="D84" s="18" t="s">
        <v>374</v>
      </c>
      <c r="E84" s="18"/>
      <c r="F84" s="18" t="s">
        <v>657</v>
      </c>
      <c r="G84" s="20" t="s">
        <v>658</v>
      </c>
      <c r="H84" s="17"/>
      <c r="I84" s="7"/>
      <c r="J84" s="7"/>
      <c r="K84" s="7"/>
      <c r="L84" s="7"/>
      <c r="M84" s="7"/>
      <c r="N84" s="7"/>
      <c r="O84" s="7"/>
      <c r="P84" s="7"/>
      <c r="Q84" s="7"/>
      <c r="R84" s="7"/>
      <c r="S84" s="7"/>
      <c r="T84" s="7"/>
      <c r="U84" s="7"/>
      <c r="V84" s="7"/>
      <c r="W84" s="7"/>
      <c r="X84" s="7"/>
      <c r="Y84" s="7"/>
      <c r="Z84" s="7"/>
      <c r="AA84" s="7"/>
    </row>
    <row r="85">
      <c r="A85" s="18" t="s">
        <v>663</v>
      </c>
      <c r="B85" s="18"/>
      <c r="C85" s="18" t="s">
        <v>664</v>
      </c>
      <c r="D85" s="18" t="s">
        <v>87</v>
      </c>
      <c r="E85" s="19">
        <v>9.19916137702E11</v>
      </c>
      <c r="F85" s="18" t="s">
        <v>665</v>
      </c>
      <c r="G85" s="20" t="s">
        <v>666</v>
      </c>
      <c r="H85" s="17"/>
      <c r="I85" s="7"/>
      <c r="J85" s="7"/>
      <c r="K85" s="7"/>
      <c r="L85" s="7"/>
      <c r="M85" s="7"/>
      <c r="N85" s="7"/>
      <c r="O85" s="7"/>
      <c r="P85" s="7"/>
      <c r="Q85" s="7"/>
      <c r="R85" s="7"/>
      <c r="S85" s="7"/>
      <c r="T85" s="7"/>
      <c r="U85" s="7"/>
      <c r="V85" s="7"/>
      <c r="W85" s="7"/>
      <c r="X85" s="7"/>
      <c r="Y85" s="7"/>
      <c r="Z85" s="7"/>
      <c r="AA85" s="7"/>
    </row>
    <row r="86">
      <c r="A86" s="18" t="s">
        <v>670</v>
      </c>
      <c r="B86" s="18"/>
      <c r="C86" s="18" t="s">
        <v>672</v>
      </c>
      <c r="D86" s="18" t="s">
        <v>673</v>
      </c>
      <c r="E86" s="19">
        <v>9.19886759627E11</v>
      </c>
      <c r="F86" s="18" t="s">
        <v>674</v>
      </c>
      <c r="G86" s="20" t="s">
        <v>675</v>
      </c>
      <c r="H86" s="17"/>
      <c r="I86" s="7"/>
      <c r="J86" s="7"/>
      <c r="K86" s="7"/>
      <c r="L86" s="7"/>
      <c r="M86" s="7"/>
      <c r="N86" s="7"/>
      <c r="O86" s="7"/>
      <c r="P86" s="7"/>
      <c r="Q86" s="7"/>
      <c r="R86" s="7"/>
      <c r="S86" s="7"/>
      <c r="T86" s="7"/>
      <c r="U86" s="7"/>
      <c r="V86" s="7"/>
      <c r="W86" s="7"/>
      <c r="X86" s="7"/>
      <c r="Y86" s="7"/>
      <c r="Z86" s="7"/>
      <c r="AA86" s="7"/>
    </row>
    <row r="87">
      <c r="A87" s="18" t="s">
        <v>676</v>
      </c>
      <c r="B87" s="18"/>
      <c r="C87" s="18" t="s">
        <v>677</v>
      </c>
      <c r="D87" s="18" t="s">
        <v>678</v>
      </c>
      <c r="E87" s="18" t="s">
        <v>98</v>
      </c>
      <c r="F87" s="18" t="s">
        <v>679</v>
      </c>
      <c r="G87" s="20" t="s">
        <v>680</v>
      </c>
      <c r="H87" s="17"/>
      <c r="I87" s="7"/>
      <c r="J87" s="7"/>
      <c r="K87" s="7"/>
      <c r="L87" s="7"/>
      <c r="M87" s="7"/>
      <c r="N87" s="7"/>
      <c r="O87" s="7"/>
      <c r="P87" s="7"/>
      <c r="Q87" s="7"/>
      <c r="R87" s="7"/>
      <c r="S87" s="7"/>
      <c r="T87" s="7"/>
      <c r="U87" s="7"/>
      <c r="V87" s="7"/>
      <c r="W87" s="7"/>
      <c r="X87" s="7"/>
      <c r="Y87" s="7"/>
      <c r="Z87" s="7"/>
      <c r="AA87" s="7"/>
    </row>
    <row r="88">
      <c r="A88" s="10" t="s">
        <v>685</v>
      </c>
      <c r="B88" s="18"/>
      <c r="C88" s="18" t="s">
        <v>686</v>
      </c>
      <c r="D88" s="18" t="s">
        <v>87</v>
      </c>
      <c r="E88" s="19">
        <v>9.19600166885E11</v>
      </c>
      <c r="F88" s="18" t="s">
        <v>687</v>
      </c>
      <c r="G88" s="20" t="s">
        <v>688</v>
      </c>
      <c r="H88" s="17" t="s">
        <v>691</v>
      </c>
      <c r="I88" s="7"/>
      <c r="J88" s="7"/>
      <c r="K88" s="7"/>
      <c r="L88" s="7"/>
      <c r="M88" s="7"/>
      <c r="N88" s="7"/>
      <c r="O88" s="7"/>
      <c r="P88" s="7"/>
      <c r="Q88" s="7"/>
      <c r="R88" s="7"/>
      <c r="S88" s="7"/>
      <c r="T88" s="7"/>
      <c r="U88" s="7"/>
      <c r="V88" s="7"/>
      <c r="W88" s="7"/>
      <c r="X88" s="7"/>
      <c r="Y88" s="7"/>
      <c r="Z88" s="7"/>
      <c r="AA88" s="7"/>
    </row>
    <row r="89">
      <c r="A89" s="10" t="s">
        <v>693</v>
      </c>
      <c r="B89" s="18"/>
      <c r="C89" s="18" t="s">
        <v>694</v>
      </c>
      <c r="D89" s="18" t="s">
        <v>87</v>
      </c>
      <c r="E89" s="18" t="s">
        <v>695</v>
      </c>
      <c r="F89" s="18" t="s">
        <v>696</v>
      </c>
      <c r="G89" s="20" t="s">
        <v>697</v>
      </c>
      <c r="H89" s="17"/>
      <c r="I89" s="7"/>
      <c r="J89" s="7"/>
      <c r="K89" s="7"/>
      <c r="L89" s="7"/>
      <c r="M89" s="7"/>
      <c r="N89" s="7"/>
      <c r="O89" s="7"/>
      <c r="P89" s="7"/>
      <c r="Q89" s="7"/>
      <c r="R89" s="7"/>
      <c r="S89" s="7"/>
      <c r="T89" s="7"/>
      <c r="U89" s="7"/>
      <c r="V89" s="7"/>
      <c r="W89" s="7"/>
      <c r="X89" s="7"/>
      <c r="Y89" s="7"/>
      <c r="Z89" s="7"/>
      <c r="AA89" s="7"/>
    </row>
    <row r="90">
      <c r="A90" s="18" t="s">
        <v>701</v>
      </c>
      <c r="B90" s="18"/>
      <c r="C90" s="18" t="s">
        <v>694</v>
      </c>
      <c r="D90" s="18"/>
      <c r="E90" s="18"/>
      <c r="F90" s="18"/>
      <c r="G90" s="20" t="s">
        <v>702</v>
      </c>
      <c r="H90" s="17"/>
      <c r="I90" s="7"/>
      <c r="J90" s="7"/>
      <c r="K90" s="7"/>
      <c r="L90" s="7"/>
      <c r="M90" s="7"/>
      <c r="N90" s="7"/>
      <c r="O90" s="7"/>
      <c r="P90" s="7"/>
      <c r="Q90" s="7"/>
      <c r="R90" s="7"/>
      <c r="S90" s="7"/>
      <c r="T90" s="7"/>
      <c r="U90" s="7"/>
      <c r="V90" s="7"/>
      <c r="W90" s="7"/>
      <c r="X90" s="7"/>
      <c r="Y90" s="7"/>
      <c r="Z90" s="7"/>
      <c r="AA90" s="7"/>
    </row>
    <row r="91">
      <c r="A91" s="10" t="s">
        <v>703</v>
      </c>
      <c r="B91" s="18"/>
      <c r="C91" s="18" t="s">
        <v>704</v>
      </c>
      <c r="D91" s="18" t="s">
        <v>20</v>
      </c>
      <c r="E91" s="19">
        <v>9.19910773035E11</v>
      </c>
      <c r="F91" s="18" t="s">
        <v>705</v>
      </c>
      <c r="G91" s="20" t="s">
        <v>706</v>
      </c>
      <c r="H91" s="17" t="s">
        <v>200</v>
      </c>
      <c r="I91" s="7"/>
      <c r="J91" s="7"/>
      <c r="K91" s="7"/>
      <c r="L91" s="7"/>
      <c r="M91" s="7"/>
      <c r="N91" s="7"/>
      <c r="O91" s="7"/>
      <c r="P91" s="7"/>
      <c r="Q91" s="7"/>
      <c r="R91" s="7"/>
      <c r="S91" s="7"/>
      <c r="T91" s="7"/>
      <c r="U91" s="7"/>
      <c r="V91" s="7"/>
      <c r="W91" s="7"/>
      <c r="X91" s="7"/>
      <c r="Y91" s="7"/>
      <c r="Z91" s="7"/>
      <c r="AA91" s="7"/>
    </row>
    <row r="92">
      <c r="A92" s="18" t="s">
        <v>715</v>
      </c>
      <c r="B92" s="18"/>
      <c r="C92" s="18" t="s">
        <v>716</v>
      </c>
      <c r="D92" s="18" t="s">
        <v>717</v>
      </c>
      <c r="E92" s="18"/>
      <c r="F92" s="18"/>
      <c r="G92" s="20" t="s">
        <v>718</v>
      </c>
      <c r="H92" s="17"/>
      <c r="I92" s="7"/>
      <c r="J92" s="7"/>
      <c r="K92" s="7"/>
      <c r="L92" s="7"/>
      <c r="M92" s="7"/>
      <c r="N92" s="7"/>
      <c r="O92" s="7"/>
      <c r="P92" s="7"/>
      <c r="Q92" s="7"/>
      <c r="R92" s="7"/>
      <c r="S92" s="7"/>
      <c r="T92" s="7"/>
      <c r="U92" s="7"/>
      <c r="V92" s="7"/>
      <c r="W92" s="7"/>
      <c r="X92" s="7"/>
      <c r="Y92" s="7"/>
      <c r="Z92" s="7"/>
      <c r="AA92" s="7"/>
    </row>
    <row r="93">
      <c r="A93" s="10" t="s">
        <v>725</v>
      </c>
      <c r="B93" s="18"/>
      <c r="C93" s="18" t="s">
        <v>727</v>
      </c>
      <c r="D93" s="18" t="s">
        <v>20</v>
      </c>
      <c r="E93" s="19">
        <v>9.19880744811E11</v>
      </c>
      <c r="F93" s="18"/>
      <c r="G93" s="20" t="s">
        <v>729</v>
      </c>
      <c r="H93" s="17"/>
      <c r="I93" s="7"/>
      <c r="J93" s="7"/>
      <c r="K93" s="7"/>
      <c r="L93" s="7"/>
      <c r="M93" s="7"/>
      <c r="N93" s="7"/>
      <c r="O93" s="7"/>
      <c r="P93" s="7"/>
      <c r="Q93" s="7"/>
      <c r="R93" s="7"/>
      <c r="S93" s="7"/>
      <c r="T93" s="7"/>
      <c r="U93" s="7"/>
      <c r="V93" s="7"/>
      <c r="W93" s="7"/>
      <c r="X93" s="7"/>
      <c r="Y93" s="7"/>
      <c r="Z93" s="7"/>
      <c r="AA93" s="7"/>
    </row>
    <row r="94">
      <c r="A94" s="10" t="s">
        <v>734</v>
      </c>
      <c r="B94" s="18"/>
      <c r="C94" s="18" t="s">
        <v>364</v>
      </c>
      <c r="D94" s="18" t="s">
        <v>20</v>
      </c>
      <c r="E94" s="19">
        <v>9.19738575143E11</v>
      </c>
      <c r="F94" s="18"/>
      <c r="G94" s="20" t="s">
        <v>736</v>
      </c>
      <c r="H94" s="17"/>
      <c r="I94" s="7"/>
      <c r="J94" s="7"/>
      <c r="K94" s="7"/>
      <c r="L94" s="7"/>
      <c r="M94" s="7"/>
      <c r="N94" s="7"/>
      <c r="O94" s="7"/>
      <c r="P94" s="7"/>
      <c r="Q94" s="7"/>
      <c r="R94" s="7"/>
      <c r="S94" s="7"/>
      <c r="T94" s="7"/>
      <c r="U94" s="7"/>
      <c r="V94" s="7"/>
      <c r="W94" s="7"/>
      <c r="X94" s="7"/>
      <c r="Y94" s="7"/>
      <c r="Z94" s="7"/>
      <c r="AA94" s="7"/>
    </row>
    <row r="95">
      <c r="A95" s="18" t="s">
        <v>741</v>
      </c>
      <c r="B95" s="18"/>
      <c r="C95" s="18" t="s">
        <v>742</v>
      </c>
      <c r="D95" s="18" t="s">
        <v>743</v>
      </c>
      <c r="E95" s="19">
        <v>9.17259017979E11</v>
      </c>
      <c r="F95" s="18" t="s">
        <v>744</v>
      </c>
      <c r="G95" s="20" t="s">
        <v>745</v>
      </c>
      <c r="H95" s="17" t="s">
        <v>746</v>
      </c>
      <c r="I95" s="7"/>
      <c r="J95" s="7"/>
      <c r="K95" s="7"/>
      <c r="L95" s="7"/>
      <c r="M95" s="7"/>
      <c r="N95" s="7"/>
      <c r="O95" s="7"/>
      <c r="P95" s="7"/>
      <c r="Q95" s="7"/>
      <c r="R95" s="7"/>
      <c r="S95" s="7"/>
      <c r="T95" s="7"/>
      <c r="U95" s="7"/>
      <c r="V95" s="7"/>
      <c r="W95" s="7"/>
      <c r="X95" s="7"/>
      <c r="Y95" s="7"/>
      <c r="Z95" s="7"/>
      <c r="AA95" s="7"/>
    </row>
    <row r="96">
      <c r="A96" s="18" t="s">
        <v>751</v>
      </c>
      <c r="B96" s="18"/>
      <c r="C96" s="18" t="s">
        <v>611</v>
      </c>
      <c r="D96" s="18" t="s">
        <v>752</v>
      </c>
      <c r="E96" s="11">
        <v>9.19833870296E11</v>
      </c>
      <c r="F96" s="18" t="s">
        <v>753</v>
      </c>
      <c r="G96" s="20" t="s">
        <v>754</v>
      </c>
      <c r="H96" s="17"/>
      <c r="I96" s="7"/>
      <c r="J96" s="7"/>
      <c r="K96" s="7"/>
      <c r="L96" s="7"/>
      <c r="M96" s="7"/>
      <c r="N96" s="7"/>
      <c r="O96" s="7"/>
      <c r="P96" s="7"/>
      <c r="Q96" s="7"/>
      <c r="R96" s="7"/>
      <c r="S96" s="7"/>
      <c r="T96" s="7"/>
      <c r="U96" s="7"/>
      <c r="V96" s="7"/>
      <c r="W96" s="7"/>
      <c r="X96" s="7"/>
      <c r="Y96" s="7"/>
      <c r="Z96" s="7"/>
      <c r="AA96" s="7"/>
    </row>
    <row r="97">
      <c r="A97" s="18" t="s">
        <v>758</v>
      </c>
      <c r="B97" s="18"/>
      <c r="C97" s="18" t="s">
        <v>759</v>
      </c>
      <c r="D97" s="18" t="s">
        <v>760</v>
      </c>
      <c r="E97" s="18" t="s">
        <v>761</v>
      </c>
      <c r="F97" s="18" t="s">
        <v>762</v>
      </c>
      <c r="G97" s="20" t="s">
        <v>763</v>
      </c>
      <c r="H97" s="17" t="s">
        <v>765</v>
      </c>
      <c r="I97" s="7"/>
      <c r="J97" s="7"/>
      <c r="K97" s="7"/>
      <c r="L97" s="7"/>
      <c r="M97" s="7"/>
      <c r="N97" s="7"/>
      <c r="O97" s="7"/>
      <c r="P97" s="7"/>
      <c r="Q97" s="7"/>
      <c r="R97" s="7"/>
      <c r="S97" s="7"/>
      <c r="T97" s="7"/>
      <c r="U97" s="7"/>
      <c r="V97" s="7"/>
      <c r="W97" s="7"/>
      <c r="X97" s="7"/>
      <c r="Y97" s="7"/>
      <c r="Z97" s="7"/>
      <c r="AA97" s="7"/>
    </row>
    <row r="98">
      <c r="A98" s="18" t="s">
        <v>766</v>
      </c>
      <c r="B98" s="18"/>
      <c r="C98" s="18" t="s">
        <v>767</v>
      </c>
      <c r="D98" s="18" t="s">
        <v>768</v>
      </c>
      <c r="E98" s="19">
        <v>9.19845334108E11</v>
      </c>
      <c r="F98" s="18" t="s">
        <v>769</v>
      </c>
      <c r="G98" s="20" t="s">
        <v>770</v>
      </c>
      <c r="H98" s="17"/>
      <c r="I98" s="7"/>
      <c r="J98" s="7"/>
      <c r="K98" s="7"/>
      <c r="L98" s="7"/>
      <c r="M98" s="7"/>
      <c r="N98" s="7"/>
      <c r="O98" s="7"/>
      <c r="P98" s="7"/>
      <c r="Q98" s="7"/>
      <c r="R98" s="7"/>
      <c r="S98" s="7"/>
      <c r="T98" s="7"/>
      <c r="U98" s="7"/>
      <c r="V98" s="7"/>
      <c r="W98" s="7"/>
      <c r="X98" s="7"/>
      <c r="Y98" s="7"/>
      <c r="Z98" s="7"/>
      <c r="AA98" s="7"/>
    </row>
    <row r="99">
      <c r="A99" s="18" t="s">
        <v>772</v>
      </c>
      <c r="B99" s="18"/>
      <c r="C99" s="18" t="s">
        <v>773</v>
      </c>
      <c r="D99" s="18" t="s">
        <v>20</v>
      </c>
      <c r="E99" s="19">
        <v>9.19740068329E11</v>
      </c>
      <c r="F99" s="18"/>
      <c r="G99" s="20" t="s">
        <v>774</v>
      </c>
      <c r="H99" s="17" t="s">
        <v>778</v>
      </c>
      <c r="I99" s="7"/>
      <c r="J99" s="7"/>
      <c r="K99" s="7"/>
      <c r="L99" s="7"/>
      <c r="M99" s="7"/>
      <c r="N99" s="7"/>
      <c r="O99" s="7"/>
      <c r="P99" s="7"/>
      <c r="Q99" s="7"/>
      <c r="R99" s="7"/>
      <c r="S99" s="7"/>
      <c r="T99" s="7"/>
      <c r="U99" s="7"/>
      <c r="V99" s="7"/>
      <c r="W99" s="7"/>
      <c r="X99" s="7"/>
      <c r="Y99" s="7"/>
      <c r="Z99" s="7"/>
      <c r="AA99" s="7"/>
    </row>
    <row r="100">
      <c r="A100" s="18" t="s">
        <v>779</v>
      </c>
      <c r="B100" s="18"/>
      <c r="C100" s="18" t="s">
        <v>780</v>
      </c>
      <c r="D100" s="18" t="s">
        <v>20</v>
      </c>
      <c r="E100" s="19">
        <v>9.19880611066E11</v>
      </c>
      <c r="F100" s="18" t="s">
        <v>781</v>
      </c>
      <c r="G100" s="20" t="s">
        <v>783</v>
      </c>
      <c r="H100" s="17" t="s">
        <v>778</v>
      </c>
      <c r="I100" s="7"/>
      <c r="J100" s="7"/>
      <c r="K100" s="7"/>
      <c r="L100" s="7"/>
      <c r="M100" s="7"/>
      <c r="N100" s="7"/>
      <c r="O100" s="7"/>
      <c r="P100" s="7"/>
      <c r="Q100" s="7"/>
      <c r="R100" s="7"/>
      <c r="S100" s="7"/>
      <c r="T100" s="7"/>
      <c r="U100" s="7"/>
      <c r="V100" s="7"/>
      <c r="W100" s="7"/>
      <c r="X100" s="7"/>
      <c r="Y100" s="7"/>
      <c r="Z100" s="7"/>
      <c r="AA100" s="7"/>
    </row>
    <row r="101">
      <c r="A101" s="18" t="s">
        <v>786</v>
      </c>
      <c r="B101" s="18"/>
      <c r="C101" s="18" t="s">
        <v>787</v>
      </c>
      <c r="D101" s="18" t="s">
        <v>789</v>
      </c>
      <c r="E101" s="18" t="s">
        <v>98</v>
      </c>
      <c r="F101" s="18" t="s">
        <v>790</v>
      </c>
      <c r="G101" s="20" t="s">
        <v>791</v>
      </c>
      <c r="H101" s="17"/>
      <c r="I101" s="7"/>
      <c r="J101" s="7"/>
      <c r="K101" s="7"/>
      <c r="L101" s="7"/>
      <c r="M101" s="7"/>
      <c r="N101" s="7"/>
      <c r="O101" s="7"/>
      <c r="P101" s="7"/>
      <c r="Q101" s="7"/>
      <c r="R101" s="7"/>
      <c r="S101" s="7"/>
      <c r="T101" s="7"/>
      <c r="U101" s="7"/>
      <c r="V101" s="7"/>
      <c r="W101" s="7"/>
      <c r="X101" s="7"/>
      <c r="Y101" s="7"/>
      <c r="Z101" s="7"/>
      <c r="AA101" s="7"/>
    </row>
    <row r="102">
      <c r="A102" s="18" t="s">
        <v>796</v>
      </c>
      <c r="B102" s="18"/>
      <c r="C102" s="18" t="s">
        <v>797</v>
      </c>
      <c r="D102" s="18" t="s">
        <v>798</v>
      </c>
      <c r="E102" s="19">
        <v>9.19886808998E11</v>
      </c>
      <c r="F102" s="18" t="s">
        <v>799</v>
      </c>
      <c r="G102" s="20" t="s">
        <v>800</v>
      </c>
      <c r="H102" s="17"/>
      <c r="I102" s="7"/>
      <c r="J102" s="7"/>
      <c r="K102" s="7"/>
      <c r="L102" s="7"/>
      <c r="M102" s="7"/>
      <c r="N102" s="7"/>
      <c r="O102" s="7"/>
      <c r="P102" s="7"/>
      <c r="Q102" s="7"/>
      <c r="R102" s="7"/>
      <c r="S102" s="7"/>
      <c r="T102" s="7"/>
      <c r="U102" s="7"/>
      <c r="V102" s="7"/>
      <c r="W102" s="7"/>
      <c r="X102" s="7"/>
      <c r="Y102" s="7"/>
      <c r="Z102" s="7"/>
      <c r="AA102" s="7"/>
    </row>
    <row r="103">
      <c r="A103" s="18" t="s">
        <v>805</v>
      </c>
      <c r="B103" s="18"/>
      <c r="C103" s="18" t="s">
        <v>806</v>
      </c>
      <c r="D103" s="18" t="s">
        <v>331</v>
      </c>
      <c r="E103" s="18" t="s">
        <v>98</v>
      </c>
      <c r="F103" s="18"/>
      <c r="G103" s="20" t="s">
        <v>807</v>
      </c>
      <c r="H103" s="17"/>
      <c r="I103" s="7"/>
      <c r="J103" s="7"/>
      <c r="K103" s="7"/>
      <c r="L103" s="7"/>
      <c r="M103" s="7"/>
      <c r="N103" s="7"/>
      <c r="O103" s="7"/>
      <c r="P103" s="7"/>
      <c r="Q103" s="7"/>
      <c r="R103" s="7"/>
      <c r="S103" s="7"/>
      <c r="T103" s="7"/>
      <c r="U103" s="7"/>
      <c r="V103" s="7"/>
      <c r="W103" s="7"/>
      <c r="X103" s="7"/>
      <c r="Y103" s="7"/>
      <c r="Z103" s="7"/>
      <c r="AA103" s="7"/>
    </row>
    <row r="104">
      <c r="A104" s="18" t="s">
        <v>812</v>
      </c>
      <c r="B104" s="18"/>
      <c r="C104" s="18" t="s">
        <v>668</v>
      </c>
      <c r="D104" s="18" t="s">
        <v>813</v>
      </c>
      <c r="E104" s="19">
        <v>9.19886393943E11</v>
      </c>
      <c r="F104" s="18" t="s">
        <v>814</v>
      </c>
      <c r="G104" s="20" t="s">
        <v>815</v>
      </c>
      <c r="H104" s="17"/>
      <c r="I104" s="7"/>
      <c r="J104" s="7"/>
      <c r="K104" s="7"/>
      <c r="L104" s="7"/>
      <c r="M104" s="7"/>
      <c r="N104" s="7"/>
      <c r="O104" s="7"/>
      <c r="P104" s="7"/>
      <c r="Q104" s="7"/>
      <c r="R104" s="7"/>
      <c r="S104" s="7"/>
      <c r="T104" s="7"/>
      <c r="U104" s="7"/>
      <c r="V104" s="7"/>
      <c r="W104" s="7"/>
      <c r="X104" s="7"/>
      <c r="Y104" s="7"/>
      <c r="Z104" s="7"/>
      <c r="AA104" s="7"/>
    </row>
    <row r="105">
      <c r="A105" s="10" t="s">
        <v>821</v>
      </c>
      <c r="B105" s="18"/>
      <c r="C105" s="18" t="s">
        <v>822</v>
      </c>
      <c r="D105" s="18" t="s">
        <v>823</v>
      </c>
      <c r="E105" s="18" t="s">
        <v>824</v>
      </c>
      <c r="F105" s="18"/>
      <c r="G105" s="20" t="s">
        <v>825</v>
      </c>
      <c r="H105" s="17"/>
      <c r="I105" s="7"/>
      <c r="J105" s="7"/>
      <c r="K105" s="7"/>
      <c r="L105" s="7"/>
      <c r="M105" s="7"/>
      <c r="N105" s="7"/>
      <c r="O105" s="7"/>
      <c r="P105" s="7"/>
      <c r="Q105" s="7"/>
      <c r="R105" s="7"/>
      <c r="S105" s="7"/>
      <c r="T105" s="7"/>
      <c r="U105" s="7"/>
      <c r="V105" s="7"/>
      <c r="W105" s="7"/>
      <c r="X105" s="7"/>
      <c r="Y105" s="7"/>
      <c r="Z105" s="7"/>
      <c r="AA105" s="7"/>
    </row>
    <row r="106">
      <c r="A106" s="18" t="s">
        <v>830</v>
      </c>
      <c r="B106" s="18"/>
      <c r="C106" s="18" t="s">
        <v>831</v>
      </c>
      <c r="D106" s="18" t="s">
        <v>87</v>
      </c>
      <c r="E106" s="19">
        <v>9.19008277133E11</v>
      </c>
      <c r="F106" s="18" t="s">
        <v>832</v>
      </c>
      <c r="G106" s="20" t="s">
        <v>833</v>
      </c>
      <c r="H106" s="17" t="s">
        <v>778</v>
      </c>
      <c r="I106" s="7"/>
      <c r="J106" s="7"/>
      <c r="K106" s="7"/>
      <c r="L106" s="7"/>
      <c r="M106" s="7"/>
      <c r="N106" s="7"/>
      <c r="O106" s="7"/>
      <c r="P106" s="7"/>
      <c r="Q106" s="7"/>
      <c r="R106" s="7"/>
      <c r="S106" s="7"/>
      <c r="T106" s="7"/>
      <c r="U106" s="7"/>
      <c r="V106" s="7"/>
      <c r="W106" s="7"/>
      <c r="X106" s="7"/>
      <c r="Y106" s="7"/>
      <c r="Z106" s="7"/>
      <c r="AA106" s="7"/>
    </row>
    <row r="107">
      <c r="A107" s="10" t="s">
        <v>842</v>
      </c>
      <c r="B107" s="18"/>
      <c r="C107" s="18" t="s">
        <v>843</v>
      </c>
      <c r="D107" s="18" t="s">
        <v>844</v>
      </c>
      <c r="E107" s="19">
        <v>9.19886082867E11</v>
      </c>
      <c r="F107" s="18" t="s">
        <v>846</v>
      </c>
      <c r="G107" s="20" t="s">
        <v>847</v>
      </c>
      <c r="H107" s="17" t="s">
        <v>853</v>
      </c>
      <c r="I107" s="7"/>
      <c r="J107" s="7"/>
      <c r="K107" s="7"/>
      <c r="L107" s="7"/>
      <c r="M107" s="7"/>
      <c r="N107" s="7"/>
      <c r="O107" s="7"/>
      <c r="P107" s="7"/>
      <c r="Q107" s="7"/>
      <c r="R107" s="7"/>
      <c r="S107" s="7"/>
      <c r="T107" s="7"/>
      <c r="U107" s="7"/>
      <c r="V107" s="7"/>
      <c r="W107" s="7"/>
      <c r="X107" s="7"/>
      <c r="Y107" s="7"/>
      <c r="Z107" s="7"/>
      <c r="AA107" s="7"/>
    </row>
    <row r="108">
      <c r="A108" s="18" t="s">
        <v>855</v>
      </c>
      <c r="B108" s="18"/>
      <c r="C108" s="18" t="s">
        <v>9</v>
      </c>
      <c r="D108" s="18" t="s">
        <v>856</v>
      </c>
      <c r="E108" s="18" t="s">
        <v>857</v>
      </c>
      <c r="F108" s="18" t="s">
        <v>858</v>
      </c>
      <c r="G108" s="20" t="s">
        <v>859</v>
      </c>
      <c r="H108" s="17" t="s">
        <v>778</v>
      </c>
      <c r="I108" s="7"/>
      <c r="J108" s="7"/>
      <c r="K108" s="7"/>
      <c r="L108" s="7"/>
      <c r="M108" s="7"/>
      <c r="N108" s="7"/>
      <c r="O108" s="7"/>
      <c r="P108" s="7"/>
      <c r="Q108" s="7"/>
      <c r="R108" s="7"/>
      <c r="S108" s="7"/>
      <c r="T108" s="7"/>
      <c r="U108" s="7"/>
      <c r="V108" s="7"/>
      <c r="W108" s="7"/>
      <c r="X108" s="7"/>
      <c r="Y108" s="7"/>
      <c r="Z108" s="7"/>
      <c r="AA108" s="7"/>
    </row>
    <row r="109">
      <c r="A109" s="10" t="s">
        <v>863</v>
      </c>
      <c r="B109" s="18"/>
      <c r="C109" s="18" t="s">
        <v>459</v>
      </c>
      <c r="D109" s="18" t="s">
        <v>865</v>
      </c>
      <c r="E109" s="19">
        <v>9.18884109911E11</v>
      </c>
      <c r="F109" s="18"/>
      <c r="G109" s="20" t="s">
        <v>866</v>
      </c>
      <c r="H109" s="17" t="s">
        <v>871</v>
      </c>
      <c r="I109" s="7"/>
      <c r="J109" s="7"/>
      <c r="K109" s="7"/>
      <c r="L109" s="7"/>
      <c r="M109" s="7"/>
      <c r="N109" s="7"/>
      <c r="O109" s="7"/>
      <c r="P109" s="7"/>
      <c r="Q109" s="7"/>
      <c r="R109" s="7"/>
      <c r="S109" s="7"/>
      <c r="T109" s="7"/>
      <c r="U109" s="7"/>
      <c r="V109" s="7"/>
      <c r="W109" s="7"/>
      <c r="X109" s="7"/>
      <c r="Y109" s="7"/>
      <c r="Z109" s="7"/>
      <c r="AA109" s="7"/>
    </row>
    <row r="110">
      <c r="A110" s="18" t="s">
        <v>872</v>
      </c>
      <c r="B110" s="18"/>
      <c r="C110" s="18" t="s">
        <v>873</v>
      </c>
      <c r="D110" s="18" t="s">
        <v>874</v>
      </c>
      <c r="E110" s="19">
        <v>9.19845418419E11</v>
      </c>
      <c r="F110" s="18" t="s">
        <v>875</v>
      </c>
      <c r="G110" s="20" t="s">
        <v>876</v>
      </c>
      <c r="H110" s="17" t="s">
        <v>778</v>
      </c>
      <c r="I110" s="7"/>
      <c r="J110" s="7"/>
      <c r="K110" s="7"/>
      <c r="L110" s="7"/>
      <c r="M110" s="7"/>
      <c r="N110" s="7"/>
      <c r="O110" s="7"/>
      <c r="P110" s="7"/>
      <c r="Q110" s="7"/>
      <c r="R110" s="7"/>
      <c r="S110" s="7"/>
      <c r="T110" s="7"/>
      <c r="U110" s="7"/>
      <c r="V110" s="7"/>
      <c r="W110" s="7"/>
      <c r="X110" s="7"/>
      <c r="Y110" s="7"/>
      <c r="Z110" s="7"/>
      <c r="AA110" s="7"/>
    </row>
    <row r="111">
      <c r="A111" s="18" t="s">
        <v>883</v>
      </c>
      <c r="B111" s="18"/>
      <c r="C111" s="18" t="s">
        <v>884</v>
      </c>
      <c r="D111" s="18" t="s">
        <v>885</v>
      </c>
      <c r="E111" s="19">
        <v>9.19606213761E11</v>
      </c>
      <c r="F111" s="18" t="s">
        <v>886</v>
      </c>
      <c r="G111" s="20" t="s">
        <v>887</v>
      </c>
      <c r="H111" s="17"/>
      <c r="I111" s="7"/>
      <c r="J111" s="7"/>
      <c r="K111" s="7"/>
      <c r="L111" s="7"/>
      <c r="M111" s="7"/>
      <c r="N111" s="7"/>
      <c r="O111" s="7"/>
      <c r="P111" s="7"/>
      <c r="Q111" s="7"/>
      <c r="R111" s="7"/>
      <c r="S111" s="7"/>
      <c r="T111" s="7"/>
      <c r="U111" s="7"/>
      <c r="V111" s="7"/>
      <c r="W111" s="7"/>
      <c r="X111" s="7"/>
      <c r="Y111" s="7"/>
      <c r="Z111" s="7"/>
      <c r="AA111" s="7"/>
    </row>
    <row r="112">
      <c r="A112" s="18" t="s">
        <v>891</v>
      </c>
      <c r="B112" s="18"/>
      <c r="C112" s="18" t="s">
        <v>892</v>
      </c>
      <c r="D112" s="18" t="s">
        <v>893</v>
      </c>
      <c r="E112" s="63">
        <v>9.17338884159E11</v>
      </c>
      <c r="F112" s="18" t="s">
        <v>895</v>
      </c>
      <c r="G112" s="20" t="s">
        <v>896</v>
      </c>
      <c r="H112" s="17"/>
      <c r="I112" s="7"/>
      <c r="J112" s="7"/>
      <c r="K112" s="7"/>
      <c r="L112" s="7"/>
      <c r="M112" s="7"/>
      <c r="N112" s="7"/>
      <c r="O112" s="7"/>
      <c r="P112" s="7"/>
      <c r="Q112" s="7"/>
      <c r="R112" s="7"/>
      <c r="S112" s="7"/>
      <c r="T112" s="7"/>
      <c r="U112" s="7"/>
      <c r="V112" s="7"/>
      <c r="W112" s="7"/>
      <c r="X112" s="7"/>
      <c r="Y112" s="7"/>
      <c r="Z112" s="7"/>
      <c r="AA112" s="7"/>
    </row>
    <row r="113">
      <c r="A113" s="18" t="s">
        <v>897</v>
      </c>
      <c r="B113" s="18"/>
      <c r="C113" s="47" t="s">
        <v>898</v>
      </c>
      <c r="D113" s="18"/>
      <c r="E113" s="19">
        <v>9.19620066528E11</v>
      </c>
      <c r="F113" s="18" t="s">
        <v>899</v>
      </c>
      <c r="G113" s="20" t="s">
        <v>900</v>
      </c>
      <c r="H113" s="17" t="s">
        <v>901</v>
      </c>
      <c r="I113" s="7"/>
      <c r="J113" s="7"/>
      <c r="K113" s="7"/>
      <c r="L113" s="7"/>
      <c r="M113" s="7"/>
      <c r="N113" s="7"/>
      <c r="O113" s="7"/>
      <c r="P113" s="7"/>
      <c r="Q113" s="7"/>
      <c r="R113" s="7"/>
      <c r="S113" s="7"/>
      <c r="T113" s="7"/>
      <c r="U113" s="7"/>
      <c r="V113" s="7"/>
      <c r="W113" s="7"/>
      <c r="X113" s="7"/>
      <c r="Y113" s="7"/>
      <c r="Z113" s="7"/>
      <c r="AA113" s="7"/>
    </row>
    <row r="114">
      <c r="A114" s="18" t="s">
        <v>903</v>
      </c>
      <c r="B114" s="18"/>
      <c r="C114" s="47" t="s">
        <v>904</v>
      </c>
      <c r="D114" s="18" t="s">
        <v>905</v>
      </c>
      <c r="E114" s="11">
        <v>8.5234629533E10</v>
      </c>
      <c r="F114" s="18"/>
      <c r="G114" s="20" t="s">
        <v>906</v>
      </c>
      <c r="H114" s="17"/>
      <c r="I114" s="7"/>
      <c r="J114" s="7"/>
      <c r="K114" s="7"/>
      <c r="L114" s="7"/>
      <c r="M114" s="7"/>
      <c r="N114" s="7"/>
      <c r="O114" s="7"/>
      <c r="P114" s="7"/>
      <c r="Q114" s="7"/>
      <c r="R114" s="7"/>
      <c r="S114" s="7"/>
      <c r="T114" s="7"/>
      <c r="U114" s="7"/>
      <c r="V114" s="7"/>
      <c r="W114" s="7"/>
      <c r="X114" s="7"/>
      <c r="Y114" s="7"/>
      <c r="Z114" s="7"/>
      <c r="AA114" s="7"/>
    </row>
    <row r="115">
      <c r="A115" s="18" t="s">
        <v>911</v>
      </c>
      <c r="B115" s="18"/>
      <c r="C115" s="47" t="s">
        <v>912</v>
      </c>
      <c r="D115" s="18" t="s">
        <v>913</v>
      </c>
      <c r="E115" s="19">
        <v>9.173377652E11</v>
      </c>
      <c r="F115" s="18" t="s">
        <v>914</v>
      </c>
      <c r="G115" s="20" t="s">
        <v>915</v>
      </c>
      <c r="H115" s="17" t="s">
        <v>916</v>
      </c>
      <c r="I115" s="7"/>
      <c r="J115" s="7"/>
      <c r="K115" s="7"/>
      <c r="L115" s="7"/>
      <c r="M115" s="7"/>
      <c r="N115" s="7"/>
      <c r="O115" s="7"/>
      <c r="P115" s="7"/>
      <c r="Q115" s="7"/>
      <c r="R115" s="7"/>
      <c r="S115" s="7"/>
      <c r="T115" s="7"/>
      <c r="U115" s="7"/>
      <c r="V115" s="7"/>
      <c r="W115" s="7"/>
      <c r="X115" s="7"/>
      <c r="Y115" s="7"/>
      <c r="Z115" s="7"/>
      <c r="AA115" s="7"/>
    </row>
    <row r="116">
      <c r="A116" s="18" t="s">
        <v>917</v>
      </c>
      <c r="B116" s="18"/>
      <c r="C116" s="65" t="s">
        <v>918</v>
      </c>
      <c r="D116" s="18" t="s">
        <v>922</v>
      </c>
      <c r="E116" s="19">
        <v>9.19945562004E11</v>
      </c>
      <c r="F116" s="18"/>
      <c r="G116" s="20" t="s">
        <v>923</v>
      </c>
      <c r="H116" s="17" t="s">
        <v>778</v>
      </c>
      <c r="I116" s="7"/>
      <c r="J116" s="7"/>
      <c r="K116" s="7"/>
      <c r="L116" s="7"/>
      <c r="M116" s="7"/>
      <c r="N116" s="7"/>
      <c r="O116" s="7"/>
      <c r="P116" s="7"/>
      <c r="Q116" s="7"/>
      <c r="R116" s="7"/>
      <c r="S116" s="7"/>
      <c r="T116" s="7"/>
      <c r="U116" s="7"/>
      <c r="V116" s="7"/>
      <c r="W116" s="7"/>
      <c r="X116" s="7"/>
      <c r="Y116" s="7"/>
      <c r="Z116" s="7"/>
      <c r="AA116" s="7"/>
    </row>
    <row r="117">
      <c r="A117" s="66" t="s">
        <v>925</v>
      </c>
      <c r="B117" s="18"/>
      <c r="C117" s="20" t="s">
        <v>930</v>
      </c>
      <c r="D117" s="18" t="s">
        <v>20</v>
      </c>
      <c r="E117" s="18" t="s">
        <v>936</v>
      </c>
      <c r="F117" s="18"/>
      <c r="G117" s="20" t="s">
        <v>937</v>
      </c>
      <c r="H117" s="17" t="s">
        <v>939</v>
      </c>
      <c r="I117" s="7"/>
      <c r="J117" s="7"/>
      <c r="K117" s="7"/>
      <c r="L117" s="7"/>
      <c r="M117" s="7"/>
      <c r="N117" s="7"/>
      <c r="O117" s="7"/>
      <c r="P117" s="7"/>
      <c r="Q117" s="7"/>
      <c r="R117" s="7"/>
      <c r="S117" s="7"/>
      <c r="T117" s="7"/>
      <c r="U117" s="7"/>
      <c r="V117" s="7"/>
      <c r="W117" s="7"/>
      <c r="X117" s="7"/>
      <c r="Y117" s="7"/>
      <c r="Z117" s="7"/>
      <c r="AA117" s="7"/>
    </row>
    <row r="118">
      <c r="A118" s="18" t="s">
        <v>940</v>
      </c>
      <c r="B118" s="18"/>
      <c r="C118" s="65" t="s">
        <v>941</v>
      </c>
      <c r="D118" s="18" t="s">
        <v>943</v>
      </c>
      <c r="E118" s="19">
        <v>9.19343331568E11</v>
      </c>
      <c r="F118" s="18"/>
      <c r="G118" s="20" t="s">
        <v>944</v>
      </c>
      <c r="H118" s="17" t="s">
        <v>778</v>
      </c>
      <c r="I118" s="7"/>
      <c r="J118" s="7"/>
      <c r="K118" s="7"/>
      <c r="L118" s="7"/>
      <c r="M118" s="7"/>
      <c r="N118" s="7"/>
      <c r="O118" s="7"/>
      <c r="P118" s="7"/>
      <c r="Q118" s="7"/>
      <c r="R118" s="7"/>
      <c r="S118" s="7"/>
      <c r="T118" s="7"/>
      <c r="U118" s="7"/>
      <c r="V118" s="7"/>
      <c r="W118" s="7"/>
      <c r="X118" s="7"/>
      <c r="Y118" s="7"/>
      <c r="Z118" s="7"/>
      <c r="AA118" s="7"/>
    </row>
    <row r="119">
      <c r="A119" s="18" t="s">
        <v>949</v>
      </c>
      <c r="B119" s="18"/>
      <c r="C119" s="47" t="s">
        <v>950</v>
      </c>
      <c r="D119" s="18" t="s">
        <v>158</v>
      </c>
      <c r="E119" s="19">
        <v>9.1900889184E11</v>
      </c>
      <c r="F119" s="18"/>
      <c r="G119" s="20" t="s">
        <v>951</v>
      </c>
      <c r="H119" s="17"/>
      <c r="I119" s="7"/>
      <c r="J119" s="7"/>
      <c r="K119" s="7"/>
      <c r="L119" s="7"/>
      <c r="M119" s="7"/>
      <c r="N119" s="7"/>
      <c r="O119" s="7"/>
      <c r="P119" s="7"/>
      <c r="Q119" s="7"/>
      <c r="R119" s="7"/>
      <c r="S119" s="7"/>
      <c r="T119" s="7"/>
      <c r="U119" s="7"/>
      <c r="V119" s="7"/>
      <c r="W119" s="7"/>
      <c r="X119" s="7"/>
      <c r="Y119" s="7"/>
      <c r="Z119" s="7"/>
      <c r="AA119" s="7"/>
    </row>
    <row r="120">
      <c r="A120" s="32" t="str">
        <f>IFERROR(__xludf.DUMMYFUNCTION("AI(""Fill an appropriate value for this cell based on the table context"")"),"I do not have enough information to identify the exact person for this row. To provide the accurate name, please include additional details for this entry such as an email address, phone number, or LinkedIn profile link.")</f>
        <v>I do not have enough information to identify the exact person for this row. To provide the accurate name, please include additional details for this entry such as an email address, phone number, or LinkedIn profile link.</v>
      </c>
      <c r="B120" s="18"/>
      <c r="C120" s="47" t="s">
        <v>953</v>
      </c>
      <c r="D120" s="18" t="s">
        <v>954</v>
      </c>
      <c r="E120" s="18"/>
      <c r="F120" s="18"/>
      <c r="G120" s="18"/>
      <c r="H120" s="17"/>
      <c r="I120" s="7"/>
      <c r="J120" s="7"/>
      <c r="K120" s="7"/>
      <c r="L120" s="7"/>
      <c r="M120" s="7"/>
      <c r="N120" s="7"/>
      <c r="O120" s="7"/>
      <c r="P120" s="7"/>
      <c r="Q120" s="7"/>
      <c r="R120" s="7"/>
      <c r="S120" s="7"/>
      <c r="T120" s="7"/>
      <c r="U120" s="7"/>
      <c r="V120" s="7"/>
      <c r="W120" s="7"/>
      <c r="X120" s="7"/>
      <c r="Y120" s="7"/>
      <c r="Z120" s="7"/>
      <c r="AA120" s="7"/>
    </row>
    <row r="121">
      <c r="A121" s="18" t="s">
        <v>960</v>
      </c>
      <c r="B121" s="18"/>
      <c r="C121" s="18" t="s">
        <v>961</v>
      </c>
      <c r="D121" s="18" t="s">
        <v>962</v>
      </c>
      <c r="E121" s="18"/>
      <c r="F121" s="18"/>
      <c r="G121" s="20" t="s">
        <v>963</v>
      </c>
      <c r="H121" s="17"/>
      <c r="I121" s="7"/>
      <c r="J121" s="7"/>
      <c r="K121" s="7"/>
      <c r="L121" s="7"/>
      <c r="M121" s="7"/>
      <c r="N121" s="7"/>
      <c r="O121" s="7"/>
      <c r="P121" s="7"/>
      <c r="Q121" s="7"/>
      <c r="R121" s="7"/>
      <c r="S121" s="7"/>
      <c r="T121" s="7"/>
      <c r="U121" s="7"/>
      <c r="V121" s="7"/>
      <c r="W121" s="7"/>
      <c r="X121" s="7"/>
      <c r="Y121" s="7"/>
      <c r="Z121" s="7"/>
      <c r="AA121" s="7"/>
    </row>
    <row r="122">
      <c r="A122" s="41" t="s">
        <v>965</v>
      </c>
      <c r="B122" s="18"/>
      <c r="C122" s="18" t="s">
        <v>966</v>
      </c>
      <c r="D122" s="18" t="s">
        <v>967</v>
      </c>
      <c r="E122" s="19">
        <v>9.19886704445E11</v>
      </c>
      <c r="F122" s="18" t="s">
        <v>969</v>
      </c>
      <c r="G122" s="20" t="s">
        <v>970</v>
      </c>
      <c r="H122" s="17"/>
      <c r="I122" s="7"/>
      <c r="J122" s="7"/>
      <c r="K122" s="7"/>
      <c r="L122" s="7"/>
      <c r="M122" s="7"/>
      <c r="N122" s="7"/>
      <c r="O122" s="7"/>
      <c r="P122" s="7"/>
      <c r="Q122" s="7"/>
      <c r="R122" s="7"/>
      <c r="S122" s="7"/>
      <c r="T122" s="7"/>
      <c r="U122" s="7"/>
      <c r="V122" s="7"/>
      <c r="W122" s="7"/>
      <c r="X122" s="7"/>
      <c r="Y122" s="7"/>
      <c r="Z122" s="7"/>
      <c r="AA122" s="7"/>
    </row>
    <row r="123">
      <c r="A123" s="18" t="s">
        <v>974</v>
      </c>
      <c r="B123" s="18"/>
      <c r="C123" s="18" t="s">
        <v>975</v>
      </c>
      <c r="D123" s="18" t="s">
        <v>976</v>
      </c>
      <c r="E123" s="18"/>
      <c r="F123" s="18"/>
      <c r="G123" s="20" t="s">
        <v>977</v>
      </c>
      <c r="H123" s="17"/>
      <c r="I123" s="7"/>
      <c r="J123" s="7"/>
      <c r="K123" s="7"/>
      <c r="L123" s="7"/>
      <c r="M123" s="7"/>
      <c r="N123" s="7"/>
      <c r="O123" s="7"/>
      <c r="P123" s="7"/>
      <c r="Q123" s="7"/>
      <c r="R123" s="7"/>
      <c r="S123" s="7"/>
      <c r="T123" s="7"/>
      <c r="U123" s="7"/>
      <c r="V123" s="7"/>
      <c r="W123" s="7"/>
      <c r="X123" s="7"/>
      <c r="Y123" s="7"/>
      <c r="Z123" s="7"/>
      <c r="AA123" s="7"/>
    </row>
    <row r="124">
      <c r="A124" s="18" t="s">
        <v>979</v>
      </c>
      <c r="B124" s="18"/>
      <c r="C124" s="18" t="s">
        <v>980</v>
      </c>
      <c r="D124" s="18" t="s">
        <v>981</v>
      </c>
      <c r="E124" s="18"/>
      <c r="F124" s="18" t="s">
        <v>982</v>
      </c>
      <c r="G124" s="20" t="s">
        <v>983</v>
      </c>
      <c r="H124" s="17"/>
      <c r="I124" s="7"/>
      <c r="J124" s="7"/>
      <c r="K124" s="7"/>
      <c r="L124" s="7"/>
      <c r="M124" s="7"/>
      <c r="N124" s="7"/>
      <c r="O124" s="7"/>
      <c r="P124" s="7"/>
      <c r="Q124" s="7"/>
      <c r="R124" s="7"/>
      <c r="S124" s="7"/>
      <c r="T124" s="7"/>
      <c r="U124" s="7"/>
      <c r="V124" s="7"/>
      <c r="W124" s="7"/>
      <c r="X124" s="7"/>
      <c r="Y124" s="7"/>
      <c r="Z124" s="7"/>
      <c r="AA124" s="7"/>
    </row>
    <row r="125">
      <c r="A125" s="18" t="s">
        <v>987</v>
      </c>
      <c r="B125" s="18"/>
      <c r="C125" s="18" t="s">
        <v>660</v>
      </c>
      <c r="D125" s="18" t="s">
        <v>988</v>
      </c>
      <c r="E125" s="18"/>
      <c r="F125" s="18"/>
      <c r="G125" s="20" t="s">
        <v>989</v>
      </c>
      <c r="H125" s="17"/>
      <c r="I125" s="7"/>
      <c r="J125" s="7"/>
      <c r="K125" s="7"/>
      <c r="L125" s="7"/>
      <c r="M125" s="7"/>
      <c r="N125" s="7"/>
      <c r="O125" s="7"/>
      <c r="P125" s="7"/>
      <c r="Q125" s="7"/>
      <c r="R125" s="7"/>
      <c r="S125" s="7"/>
      <c r="T125" s="7"/>
      <c r="U125" s="7"/>
      <c r="V125" s="7"/>
      <c r="W125" s="7"/>
      <c r="X125" s="7"/>
      <c r="Y125" s="7"/>
      <c r="Z125" s="7"/>
      <c r="AA125" s="7"/>
    </row>
    <row r="126">
      <c r="A126" s="18" t="s">
        <v>991</v>
      </c>
      <c r="B126" s="18"/>
      <c r="C126" s="18" t="s">
        <v>992</v>
      </c>
      <c r="D126" s="18" t="s">
        <v>993</v>
      </c>
      <c r="E126" s="18"/>
      <c r="F126" s="18" t="s">
        <v>994</v>
      </c>
      <c r="G126" s="20" t="s">
        <v>995</v>
      </c>
      <c r="H126" s="17"/>
      <c r="I126" s="7"/>
      <c r="J126" s="7"/>
      <c r="K126" s="7"/>
      <c r="L126" s="7"/>
      <c r="M126" s="7"/>
      <c r="N126" s="7"/>
      <c r="O126" s="7"/>
      <c r="P126" s="7"/>
      <c r="Q126" s="7"/>
      <c r="R126" s="7"/>
      <c r="S126" s="7"/>
      <c r="T126" s="7"/>
      <c r="U126" s="7"/>
      <c r="V126" s="7"/>
      <c r="W126" s="7"/>
      <c r="X126" s="7"/>
      <c r="Y126" s="7"/>
      <c r="Z126" s="7"/>
      <c r="AA126" s="7"/>
    </row>
    <row r="127">
      <c r="A127" s="10" t="s">
        <v>999</v>
      </c>
      <c r="B127" s="18"/>
      <c r="C127" s="18" t="s">
        <v>1000</v>
      </c>
      <c r="D127" s="18" t="s">
        <v>1001</v>
      </c>
      <c r="E127" s="18" t="s">
        <v>1002</v>
      </c>
      <c r="F127" s="18"/>
      <c r="G127" s="20" t="s">
        <v>1003</v>
      </c>
      <c r="H127" s="17"/>
      <c r="I127" s="7"/>
      <c r="J127" s="7"/>
      <c r="K127" s="7"/>
      <c r="L127" s="7"/>
      <c r="M127" s="7"/>
      <c r="N127" s="7"/>
      <c r="O127" s="7"/>
      <c r="P127" s="7"/>
      <c r="Q127" s="7"/>
      <c r="R127" s="7"/>
      <c r="S127" s="7"/>
      <c r="T127" s="7"/>
      <c r="U127" s="7"/>
      <c r="V127" s="7"/>
      <c r="W127" s="7"/>
      <c r="X127" s="7"/>
      <c r="Y127" s="7"/>
      <c r="Z127" s="7"/>
      <c r="AA127" s="7"/>
    </row>
    <row r="128">
      <c r="A128" s="10" t="s">
        <v>1004</v>
      </c>
      <c r="B128" s="18"/>
      <c r="C128" s="18" t="s">
        <v>650</v>
      </c>
      <c r="D128" s="18" t="s">
        <v>1005</v>
      </c>
      <c r="E128" s="19">
        <v>9.199005809E11</v>
      </c>
      <c r="F128" s="18"/>
      <c r="G128" s="20" t="s">
        <v>1006</v>
      </c>
      <c r="H128" s="17" t="s">
        <v>1008</v>
      </c>
      <c r="I128" s="7"/>
      <c r="J128" s="7"/>
      <c r="K128" s="7"/>
      <c r="L128" s="7"/>
      <c r="M128" s="7"/>
      <c r="N128" s="7"/>
      <c r="O128" s="7"/>
      <c r="P128" s="7"/>
      <c r="Q128" s="7"/>
      <c r="R128" s="7"/>
      <c r="S128" s="7"/>
      <c r="T128" s="7"/>
      <c r="U128" s="7"/>
      <c r="V128" s="7"/>
      <c r="W128" s="7"/>
      <c r="X128" s="7"/>
      <c r="Y128" s="7"/>
      <c r="Z128" s="7"/>
      <c r="AA128" s="7"/>
    </row>
    <row r="129">
      <c r="A129" s="18" t="s">
        <v>1009</v>
      </c>
      <c r="B129" s="18"/>
      <c r="C129" s="18" t="s">
        <v>1010</v>
      </c>
      <c r="D129" s="18" t="s">
        <v>1011</v>
      </c>
      <c r="E129" s="18"/>
      <c r="F129" s="18" t="s">
        <v>1012</v>
      </c>
      <c r="G129" s="20" t="s">
        <v>1014</v>
      </c>
      <c r="H129" s="17"/>
      <c r="I129" s="7"/>
      <c r="J129" s="7"/>
      <c r="K129" s="7"/>
      <c r="L129" s="7"/>
      <c r="M129" s="7"/>
      <c r="N129" s="7"/>
      <c r="O129" s="7"/>
      <c r="P129" s="7"/>
      <c r="Q129" s="7"/>
      <c r="R129" s="7"/>
      <c r="S129" s="7"/>
      <c r="T129" s="7"/>
      <c r="U129" s="7"/>
      <c r="V129" s="7"/>
      <c r="W129" s="7"/>
      <c r="X129" s="7"/>
      <c r="Y129" s="7"/>
      <c r="Z129" s="7"/>
      <c r="AA129" s="7"/>
    </row>
    <row r="130">
      <c r="A130" s="18" t="s">
        <v>1018</v>
      </c>
      <c r="B130" s="18"/>
      <c r="C130" s="18" t="s">
        <v>1019</v>
      </c>
      <c r="D130" s="18" t="s">
        <v>1020</v>
      </c>
      <c r="E130" s="19">
        <v>9.19632548008E11</v>
      </c>
      <c r="F130" s="18"/>
      <c r="G130" s="20" t="s">
        <v>1021</v>
      </c>
      <c r="H130" s="17" t="s">
        <v>778</v>
      </c>
      <c r="I130" s="7"/>
      <c r="J130" s="7"/>
      <c r="K130" s="7"/>
      <c r="L130" s="7"/>
      <c r="M130" s="7"/>
      <c r="N130" s="7"/>
      <c r="O130" s="7"/>
      <c r="P130" s="7"/>
      <c r="Q130" s="7"/>
      <c r="R130" s="7"/>
      <c r="S130" s="7"/>
      <c r="T130" s="7"/>
      <c r="U130" s="7"/>
      <c r="V130" s="7"/>
      <c r="W130" s="7"/>
      <c r="X130" s="7"/>
      <c r="Y130" s="7"/>
      <c r="Z130" s="7"/>
      <c r="AA130" s="7"/>
    </row>
    <row r="131">
      <c r="A131" s="18" t="s">
        <v>1025</v>
      </c>
      <c r="B131" s="18"/>
      <c r="C131" s="18" t="s">
        <v>1026</v>
      </c>
      <c r="D131" s="18" t="s">
        <v>1027</v>
      </c>
      <c r="E131" s="18" t="s">
        <v>1028</v>
      </c>
      <c r="F131" s="18"/>
      <c r="G131" s="20" t="s">
        <v>1029</v>
      </c>
      <c r="H131" s="17" t="s">
        <v>778</v>
      </c>
      <c r="I131" s="7"/>
      <c r="J131" s="7"/>
      <c r="K131" s="7"/>
      <c r="L131" s="7"/>
      <c r="M131" s="7"/>
      <c r="N131" s="7"/>
      <c r="O131" s="7"/>
      <c r="P131" s="7"/>
      <c r="Q131" s="7"/>
      <c r="R131" s="7"/>
      <c r="S131" s="7"/>
      <c r="T131" s="7"/>
      <c r="U131" s="7"/>
      <c r="V131" s="7"/>
      <c r="W131" s="7"/>
      <c r="X131" s="7"/>
      <c r="Y131" s="7"/>
      <c r="Z131" s="7"/>
      <c r="AA131" s="7"/>
    </row>
    <row r="132">
      <c r="A132" s="10" t="s">
        <v>1031</v>
      </c>
      <c r="B132" s="18"/>
      <c r="C132" s="18" t="s">
        <v>1032</v>
      </c>
      <c r="D132" s="18" t="s">
        <v>1033</v>
      </c>
      <c r="E132" s="19">
        <v>9.18722272333E11</v>
      </c>
      <c r="F132" s="18" t="s">
        <v>1034</v>
      </c>
      <c r="G132" s="20" t="s">
        <v>1035</v>
      </c>
      <c r="H132" s="17" t="s">
        <v>778</v>
      </c>
      <c r="I132" s="7"/>
      <c r="J132" s="7"/>
      <c r="K132" s="7"/>
      <c r="L132" s="7"/>
      <c r="M132" s="7"/>
      <c r="N132" s="7"/>
      <c r="O132" s="7"/>
      <c r="P132" s="7"/>
      <c r="Q132" s="7"/>
      <c r="R132" s="7"/>
      <c r="S132" s="7"/>
      <c r="T132" s="7"/>
      <c r="U132" s="7"/>
      <c r="V132" s="7"/>
      <c r="W132" s="7"/>
      <c r="X132" s="7"/>
      <c r="Y132" s="7"/>
      <c r="Z132" s="7"/>
      <c r="AA132" s="7"/>
    </row>
    <row r="133">
      <c r="A133" s="18" t="s">
        <v>1037</v>
      </c>
      <c r="B133" s="18"/>
      <c r="C133" s="18" t="s">
        <v>1038</v>
      </c>
      <c r="D133" s="18" t="s">
        <v>1039</v>
      </c>
      <c r="E133" s="18"/>
      <c r="F133" s="18"/>
      <c r="G133" s="20" t="s">
        <v>1040</v>
      </c>
      <c r="H133" s="17"/>
      <c r="I133" s="7"/>
      <c r="J133" s="7"/>
      <c r="K133" s="7"/>
      <c r="L133" s="7"/>
      <c r="M133" s="7"/>
      <c r="N133" s="7"/>
      <c r="O133" s="7"/>
      <c r="P133" s="7"/>
      <c r="Q133" s="7"/>
      <c r="R133" s="7"/>
      <c r="S133" s="7"/>
      <c r="T133" s="7"/>
      <c r="U133" s="7"/>
      <c r="V133" s="7"/>
      <c r="W133" s="7"/>
      <c r="X133" s="7"/>
      <c r="Y133" s="7"/>
      <c r="Z133" s="7"/>
      <c r="AA133" s="7"/>
    </row>
    <row r="134">
      <c r="A134" s="41" t="s">
        <v>1042</v>
      </c>
      <c r="B134" s="18"/>
      <c r="C134" s="18" t="s">
        <v>1043</v>
      </c>
      <c r="D134" s="18" t="s">
        <v>1044</v>
      </c>
      <c r="E134" s="19">
        <v>9.19740751528E11</v>
      </c>
      <c r="F134" s="18"/>
      <c r="G134" s="20" t="s">
        <v>1045</v>
      </c>
      <c r="H134" s="17" t="s">
        <v>1050</v>
      </c>
      <c r="I134" s="7"/>
      <c r="J134" s="7"/>
      <c r="K134" s="7"/>
      <c r="L134" s="7"/>
      <c r="M134" s="7"/>
      <c r="N134" s="7"/>
      <c r="O134" s="7"/>
      <c r="P134" s="7"/>
      <c r="Q134" s="7"/>
      <c r="R134" s="7"/>
      <c r="S134" s="7"/>
      <c r="T134" s="7"/>
      <c r="U134" s="7"/>
      <c r="V134" s="7"/>
      <c r="W134" s="7"/>
      <c r="X134" s="7"/>
      <c r="Y134" s="7"/>
      <c r="Z134" s="7"/>
      <c r="AA134" s="7"/>
    </row>
    <row r="135">
      <c r="A135" s="18" t="s">
        <v>1051</v>
      </c>
      <c r="B135" s="18"/>
      <c r="C135" s="18" t="s">
        <v>1052</v>
      </c>
      <c r="D135" s="18" t="s">
        <v>1053</v>
      </c>
      <c r="E135" s="18"/>
      <c r="F135" s="18"/>
      <c r="G135" s="20" t="s">
        <v>1054</v>
      </c>
      <c r="H135" s="17"/>
      <c r="I135" s="7"/>
      <c r="J135" s="7"/>
      <c r="K135" s="7"/>
      <c r="L135" s="7"/>
      <c r="M135" s="7"/>
      <c r="N135" s="7"/>
      <c r="O135" s="7"/>
      <c r="P135" s="7"/>
      <c r="Q135" s="7"/>
      <c r="R135" s="7"/>
      <c r="S135" s="7"/>
      <c r="T135" s="7"/>
      <c r="U135" s="7"/>
      <c r="V135" s="7"/>
      <c r="W135" s="7"/>
      <c r="X135" s="7"/>
      <c r="Y135" s="7"/>
      <c r="Z135" s="7"/>
      <c r="AA135" s="7"/>
    </row>
    <row r="136">
      <c r="A136" s="18" t="s">
        <v>1056</v>
      </c>
      <c r="B136" s="18"/>
      <c r="C136" s="18" t="s">
        <v>1057</v>
      </c>
      <c r="D136" s="18" t="s">
        <v>1058</v>
      </c>
      <c r="E136" s="18"/>
      <c r="F136" s="18"/>
      <c r="G136" s="20" t="s">
        <v>1059</v>
      </c>
      <c r="H136" s="17"/>
      <c r="I136" s="7"/>
      <c r="J136" s="7"/>
      <c r="K136" s="7"/>
      <c r="L136" s="7"/>
      <c r="M136" s="7"/>
      <c r="N136" s="7"/>
      <c r="O136" s="7"/>
      <c r="P136" s="7"/>
      <c r="Q136" s="7"/>
      <c r="R136" s="7"/>
      <c r="S136" s="7"/>
      <c r="T136" s="7"/>
      <c r="U136" s="7"/>
      <c r="V136" s="7"/>
      <c r="W136" s="7"/>
      <c r="X136" s="7"/>
      <c r="Y136" s="7"/>
      <c r="Z136" s="7"/>
      <c r="AA136" s="7"/>
    </row>
    <row r="137">
      <c r="A137" s="18" t="s">
        <v>1060</v>
      </c>
      <c r="B137" s="18"/>
      <c r="C137" s="18" t="s">
        <v>1062</v>
      </c>
      <c r="D137" s="18" t="s">
        <v>20</v>
      </c>
      <c r="E137" s="19">
        <v>9.19845207138E11</v>
      </c>
      <c r="F137" s="18"/>
      <c r="G137" s="20" t="s">
        <v>1063</v>
      </c>
      <c r="H137" s="17" t="s">
        <v>778</v>
      </c>
      <c r="I137" s="7"/>
      <c r="J137" s="7"/>
      <c r="K137" s="7"/>
      <c r="L137" s="7"/>
      <c r="M137" s="7"/>
      <c r="N137" s="7"/>
      <c r="O137" s="7"/>
      <c r="P137" s="7"/>
      <c r="Q137" s="7"/>
      <c r="R137" s="7"/>
      <c r="S137" s="7"/>
      <c r="T137" s="7"/>
      <c r="U137" s="7"/>
      <c r="V137" s="7"/>
      <c r="W137" s="7"/>
      <c r="X137" s="7"/>
      <c r="Y137" s="7"/>
      <c r="Z137" s="7"/>
      <c r="AA137" s="7"/>
    </row>
    <row r="138">
      <c r="A138" s="18" t="s">
        <v>1068</v>
      </c>
      <c r="B138" s="18"/>
      <c r="C138" s="18" t="s">
        <v>1069</v>
      </c>
      <c r="D138" s="18" t="s">
        <v>1070</v>
      </c>
      <c r="E138" s="19">
        <v>9.19535635746E11</v>
      </c>
      <c r="F138" s="18"/>
      <c r="G138" s="20" t="s">
        <v>1071</v>
      </c>
      <c r="H138" s="17" t="s">
        <v>778</v>
      </c>
      <c r="I138" s="7"/>
      <c r="J138" s="7"/>
      <c r="K138" s="7"/>
      <c r="L138" s="7"/>
      <c r="M138" s="7"/>
      <c r="N138" s="7"/>
      <c r="O138" s="7"/>
      <c r="P138" s="7"/>
      <c r="Q138" s="7"/>
      <c r="R138" s="7"/>
      <c r="S138" s="7"/>
      <c r="T138" s="7"/>
      <c r="U138" s="7"/>
      <c r="V138" s="7"/>
      <c r="W138" s="7"/>
      <c r="X138" s="7"/>
      <c r="Y138" s="7"/>
      <c r="Z138" s="7"/>
      <c r="AA138" s="7"/>
    </row>
    <row r="139">
      <c r="A139" s="18" t="s">
        <v>1074</v>
      </c>
      <c r="B139" s="18"/>
      <c r="C139" s="18" t="s">
        <v>1075</v>
      </c>
      <c r="D139" s="18" t="s">
        <v>851</v>
      </c>
      <c r="E139" s="18"/>
      <c r="F139" s="18"/>
      <c r="G139" s="49" t="s">
        <v>1076</v>
      </c>
      <c r="H139" s="17"/>
      <c r="I139" s="7"/>
      <c r="J139" s="7"/>
      <c r="K139" s="7"/>
      <c r="L139" s="7"/>
      <c r="M139" s="7"/>
      <c r="N139" s="7"/>
      <c r="O139" s="7"/>
      <c r="P139" s="7"/>
      <c r="Q139" s="7"/>
      <c r="R139" s="7"/>
      <c r="S139" s="7"/>
      <c r="T139" s="7"/>
      <c r="U139" s="7"/>
      <c r="V139" s="7"/>
      <c r="W139" s="7"/>
      <c r="X139" s="7"/>
      <c r="Y139" s="7"/>
      <c r="Z139" s="7"/>
      <c r="AA139" s="7"/>
    </row>
    <row r="140">
      <c r="A140" s="41" t="s">
        <v>1078</v>
      </c>
      <c r="B140" s="18"/>
      <c r="C140" s="18" t="s">
        <v>1079</v>
      </c>
      <c r="D140" s="18" t="s">
        <v>1080</v>
      </c>
      <c r="E140" s="19">
        <v>9.19899588541E11</v>
      </c>
      <c r="F140" s="18"/>
      <c r="G140" s="20" t="s">
        <v>1084</v>
      </c>
      <c r="H140" s="17" t="s">
        <v>778</v>
      </c>
      <c r="I140" s="7"/>
      <c r="J140" s="7"/>
      <c r="K140" s="7"/>
      <c r="L140" s="7"/>
      <c r="M140" s="7"/>
      <c r="N140" s="7"/>
      <c r="O140" s="7"/>
      <c r="P140" s="7"/>
      <c r="Q140" s="7"/>
      <c r="R140" s="7"/>
      <c r="S140" s="7"/>
      <c r="T140" s="7"/>
      <c r="U140" s="7"/>
      <c r="V140" s="7"/>
      <c r="W140" s="7"/>
      <c r="X140" s="7"/>
      <c r="Y140" s="7"/>
      <c r="Z140" s="7"/>
      <c r="AA140" s="7"/>
    </row>
    <row r="141">
      <c r="A141" s="18" t="s">
        <v>1086</v>
      </c>
      <c r="B141" s="18"/>
      <c r="C141" s="18" t="s">
        <v>835</v>
      </c>
      <c r="D141" s="18" t="s">
        <v>158</v>
      </c>
      <c r="E141" s="18"/>
      <c r="F141" s="18"/>
      <c r="G141" s="20" t="s">
        <v>1087</v>
      </c>
      <c r="H141" s="17"/>
      <c r="I141" s="7"/>
      <c r="J141" s="7"/>
      <c r="K141" s="7"/>
      <c r="L141" s="7"/>
      <c r="M141" s="7"/>
      <c r="N141" s="7"/>
      <c r="O141" s="7"/>
      <c r="P141" s="7"/>
      <c r="Q141" s="7"/>
      <c r="R141" s="7"/>
      <c r="S141" s="7"/>
      <c r="T141" s="7"/>
      <c r="U141" s="7"/>
      <c r="V141" s="7"/>
      <c r="W141" s="7"/>
      <c r="X141" s="7"/>
      <c r="Y141" s="7"/>
      <c r="Z141" s="7"/>
      <c r="AA141" s="7"/>
    </row>
    <row r="142">
      <c r="A142" s="18" t="s">
        <v>1090</v>
      </c>
      <c r="B142" s="18"/>
      <c r="C142" s="18" t="s">
        <v>192</v>
      </c>
      <c r="D142" s="18" t="s">
        <v>158</v>
      </c>
      <c r="E142" s="18"/>
      <c r="F142" s="18"/>
      <c r="G142" s="20" t="s">
        <v>1092</v>
      </c>
      <c r="H142" s="17"/>
      <c r="I142" s="7"/>
      <c r="J142" s="7"/>
      <c r="K142" s="7"/>
      <c r="L142" s="7"/>
      <c r="M142" s="7"/>
      <c r="N142" s="7"/>
      <c r="O142" s="7"/>
      <c r="P142" s="7"/>
      <c r="Q142" s="7"/>
      <c r="R142" s="7"/>
      <c r="S142" s="7"/>
      <c r="T142" s="7"/>
      <c r="U142" s="7"/>
      <c r="V142" s="7"/>
      <c r="W142" s="7"/>
      <c r="X142" s="7"/>
      <c r="Y142" s="7"/>
      <c r="Z142" s="7"/>
      <c r="AA142" s="7"/>
    </row>
    <row r="143">
      <c r="A143" s="18" t="s">
        <v>1095</v>
      </c>
      <c r="B143" s="18"/>
      <c r="C143" s="18" t="s">
        <v>1096</v>
      </c>
      <c r="D143" s="18" t="s">
        <v>1097</v>
      </c>
      <c r="E143" s="18" t="s">
        <v>1098</v>
      </c>
      <c r="F143" s="18"/>
      <c r="G143" s="20" t="s">
        <v>1099</v>
      </c>
      <c r="H143" s="17" t="s">
        <v>778</v>
      </c>
      <c r="I143" s="7"/>
      <c r="J143" s="7"/>
      <c r="K143" s="7"/>
      <c r="L143" s="7"/>
      <c r="M143" s="7"/>
      <c r="N143" s="7"/>
      <c r="O143" s="7"/>
      <c r="P143" s="7"/>
      <c r="Q143" s="7"/>
      <c r="R143" s="7"/>
      <c r="S143" s="7"/>
      <c r="T143" s="7"/>
      <c r="U143" s="7"/>
      <c r="V143" s="7"/>
      <c r="W143" s="7"/>
      <c r="X143" s="7"/>
      <c r="Y143" s="7"/>
      <c r="Z143" s="7"/>
      <c r="AA143" s="7"/>
    </row>
    <row r="144">
      <c r="A144" s="18" t="s">
        <v>1104</v>
      </c>
      <c r="B144" s="18"/>
      <c r="C144" s="18" t="s">
        <v>1105</v>
      </c>
      <c r="D144" s="18" t="s">
        <v>189</v>
      </c>
      <c r="E144" s="19">
        <v>9.19844145874E11</v>
      </c>
      <c r="F144" s="18"/>
      <c r="G144" s="20" t="s">
        <v>1106</v>
      </c>
      <c r="H144" s="17" t="s">
        <v>778</v>
      </c>
      <c r="I144" s="7"/>
      <c r="J144" s="7"/>
      <c r="K144" s="7"/>
      <c r="L144" s="7"/>
      <c r="M144" s="7"/>
      <c r="N144" s="7"/>
      <c r="O144" s="7"/>
      <c r="P144" s="7"/>
      <c r="Q144" s="7"/>
      <c r="R144" s="7"/>
      <c r="S144" s="7"/>
      <c r="T144" s="7"/>
      <c r="U144" s="7"/>
      <c r="V144" s="7"/>
      <c r="W144" s="7"/>
      <c r="X144" s="7"/>
      <c r="Y144" s="7"/>
      <c r="Z144" s="7"/>
      <c r="AA144" s="7"/>
    </row>
    <row r="145">
      <c r="A145" s="18" t="s">
        <v>1108</v>
      </c>
      <c r="B145" s="18"/>
      <c r="C145" s="18" t="s">
        <v>1109</v>
      </c>
      <c r="D145" s="18" t="s">
        <v>1110</v>
      </c>
      <c r="E145" s="19">
        <v>9.19900137627E11</v>
      </c>
      <c r="F145" s="18"/>
      <c r="G145" s="20" t="s">
        <v>1111</v>
      </c>
      <c r="H145" s="17" t="s">
        <v>778</v>
      </c>
      <c r="I145" s="7"/>
      <c r="J145" s="7"/>
      <c r="K145" s="7"/>
      <c r="L145" s="7"/>
      <c r="M145" s="7"/>
      <c r="N145" s="7"/>
      <c r="O145" s="7"/>
      <c r="P145" s="7"/>
      <c r="Q145" s="7"/>
      <c r="R145" s="7"/>
      <c r="S145" s="7"/>
      <c r="T145" s="7"/>
      <c r="U145" s="7"/>
      <c r="V145" s="7"/>
      <c r="W145" s="7"/>
      <c r="X145" s="7"/>
      <c r="Y145" s="7"/>
      <c r="Z145" s="7"/>
      <c r="AA145" s="7"/>
    </row>
    <row r="146">
      <c r="A146" s="18" t="s">
        <v>1117</v>
      </c>
      <c r="B146" s="18"/>
      <c r="C146" s="18" t="s">
        <v>1118</v>
      </c>
      <c r="D146" s="18" t="s">
        <v>189</v>
      </c>
      <c r="E146" s="19">
        <v>9.1988620552E10</v>
      </c>
      <c r="F146" s="18"/>
      <c r="G146" s="20" t="s">
        <v>1119</v>
      </c>
      <c r="H146" s="17"/>
      <c r="I146" s="7"/>
      <c r="J146" s="7"/>
      <c r="K146" s="7"/>
      <c r="L146" s="7"/>
      <c r="M146" s="7"/>
      <c r="N146" s="7"/>
      <c r="O146" s="7"/>
      <c r="P146" s="7"/>
      <c r="Q146" s="7"/>
      <c r="R146" s="7"/>
      <c r="S146" s="7"/>
      <c r="T146" s="7"/>
      <c r="U146" s="7"/>
      <c r="V146" s="7"/>
      <c r="W146" s="7"/>
      <c r="X146" s="7"/>
      <c r="Y146" s="7"/>
      <c r="Z146" s="7"/>
      <c r="AA146" s="7"/>
    </row>
    <row r="147">
      <c r="A147" s="18" t="s">
        <v>1121</v>
      </c>
      <c r="B147" s="18"/>
      <c r="C147" s="18" t="s">
        <v>1122</v>
      </c>
      <c r="D147" s="18" t="s">
        <v>1123</v>
      </c>
      <c r="E147" s="19">
        <v>9.1988616445E11</v>
      </c>
      <c r="F147" s="18"/>
      <c r="G147" s="20" t="s">
        <v>1124</v>
      </c>
      <c r="H147" s="17" t="s">
        <v>778</v>
      </c>
      <c r="I147" s="7"/>
      <c r="J147" s="7"/>
      <c r="K147" s="7"/>
      <c r="L147" s="7"/>
      <c r="M147" s="7"/>
      <c r="N147" s="7"/>
      <c r="O147" s="7"/>
      <c r="P147" s="7"/>
      <c r="Q147" s="7"/>
      <c r="R147" s="7"/>
      <c r="S147" s="7"/>
      <c r="T147" s="7"/>
      <c r="U147" s="7"/>
      <c r="V147" s="7"/>
      <c r="W147" s="7"/>
      <c r="X147" s="7"/>
      <c r="Y147" s="7"/>
      <c r="Z147" s="7"/>
      <c r="AA147" s="7"/>
    </row>
    <row r="148">
      <c r="A148" s="18" t="s">
        <v>1128</v>
      </c>
      <c r="B148" s="18"/>
      <c r="C148" s="18" t="s">
        <v>1129</v>
      </c>
      <c r="D148" s="18" t="s">
        <v>1130</v>
      </c>
      <c r="E148" s="18"/>
      <c r="F148" s="18"/>
      <c r="G148" s="20" t="s">
        <v>1131</v>
      </c>
      <c r="H148" s="17"/>
      <c r="I148" s="7"/>
      <c r="J148" s="7"/>
      <c r="K148" s="7"/>
      <c r="L148" s="7"/>
      <c r="M148" s="7"/>
      <c r="N148" s="7"/>
      <c r="O148" s="7"/>
      <c r="P148" s="7"/>
      <c r="Q148" s="7"/>
      <c r="R148" s="7"/>
      <c r="S148" s="7"/>
      <c r="T148" s="7"/>
      <c r="U148" s="7"/>
      <c r="V148" s="7"/>
      <c r="W148" s="7"/>
      <c r="X148" s="7"/>
      <c r="Y148" s="7"/>
      <c r="Z148" s="7"/>
      <c r="AA148" s="7"/>
    </row>
    <row r="149">
      <c r="A149" s="18" t="s">
        <v>1134</v>
      </c>
      <c r="B149" s="18"/>
      <c r="C149" s="18" t="s">
        <v>1136</v>
      </c>
      <c r="D149" s="18" t="s">
        <v>1138</v>
      </c>
      <c r="E149" s="19">
        <v>9.18088542605E11</v>
      </c>
      <c r="F149" s="18"/>
      <c r="G149" s="20" t="s">
        <v>1139</v>
      </c>
      <c r="H149" s="17" t="s">
        <v>1143</v>
      </c>
      <c r="I149" s="7"/>
      <c r="J149" s="7"/>
      <c r="K149" s="7"/>
      <c r="L149" s="7"/>
      <c r="M149" s="7"/>
      <c r="N149" s="7"/>
      <c r="O149" s="7"/>
      <c r="P149" s="7"/>
      <c r="Q149" s="7"/>
      <c r="R149" s="7"/>
      <c r="S149" s="7"/>
      <c r="T149" s="7"/>
      <c r="U149" s="7"/>
      <c r="V149" s="7"/>
      <c r="W149" s="7"/>
      <c r="X149" s="7"/>
      <c r="Y149" s="7"/>
      <c r="Z149" s="7"/>
      <c r="AA149" s="7"/>
    </row>
    <row r="150">
      <c r="A150" s="18" t="s">
        <v>1144</v>
      </c>
      <c r="B150" s="18"/>
      <c r="C150" s="47" t="s">
        <v>1146</v>
      </c>
      <c r="D150" s="18" t="s">
        <v>20</v>
      </c>
      <c r="E150" s="19">
        <v>9.19880349949E11</v>
      </c>
      <c r="F150" s="18"/>
      <c r="G150" s="20" t="s">
        <v>1148</v>
      </c>
      <c r="H150" s="17" t="s">
        <v>778</v>
      </c>
      <c r="I150" s="7"/>
      <c r="J150" s="7"/>
      <c r="K150" s="7"/>
      <c r="L150" s="7"/>
      <c r="M150" s="7"/>
      <c r="N150" s="7"/>
      <c r="O150" s="7"/>
      <c r="P150" s="7"/>
      <c r="Q150" s="7"/>
      <c r="R150" s="7"/>
      <c r="S150" s="7"/>
      <c r="T150" s="7"/>
      <c r="U150" s="7"/>
      <c r="V150" s="7"/>
      <c r="W150" s="7"/>
      <c r="X150" s="7"/>
      <c r="Y150" s="7"/>
      <c r="Z150" s="7"/>
      <c r="AA150" s="7"/>
    </row>
    <row r="151">
      <c r="A151" s="18" t="s">
        <v>1150</v>
      </c>
      <c r="B151" s="18"/>
      <c r="C151" s="47" t="s">
        <v>361</v>
      </c>
      <c r="D151" s="18" t="s">
        <v>1151</v>
      </c>
      <c r="E151" s="19">
        <v>9.19886057302E11</v>
      </c>
      <c r="F151" s="18"/>
      <c r="G151" s="20" t="s">
        <v>1153</v>
      </c>
      <c r="H151" s="17" t="s">
        <v>778</v>
      </c>
      <c r="I151" s="7"/>
      <c r="J151" s="7"/>
      <c r="K151" s="7"/>
      <c r="L151" s="7"/>
      <c r="M151" s="7"/>
      <c r="N151" s="7"/>
      <c r="O151" s="7"/>
      <c r="P151" s="7"/>
      <c r="Q151" s="7"/>
      <c r="R151" s="7"/>
      <c r="S151" s="7"/>
      <c r="T151" s="7"/>
      <c r="U151" s="7"/>
      <c r="V151" s="7"/>
      <c r="W151" s="7"/>
      <c r="X151" s="7"/>
      <c r="Y151" s="7"/>
      <c r="Z151" s="7"/>
      <c r="AA151" s="7"/>
    </row>
    <row r="152">
      <c r="A152" s="18" t="s">
        <v>1156</v>
      </c>
      <c r="B152" s="18"/>
      <c r="C152" s="18" t="s">
        <v>1157</v>
      </c>
      <c r="D152" s="18" t="s">
        <v>87</v>
      </c>
      <c r="E152" s="19">
        <v>9.19880405484E11</v>
      </c>
      <c r="F152" s="18"/>
      <c r="G152" s="20" t="s">
        <v>1159</v>
      </c>
      <c r="H152" s="17" t="s">
        <v>1008</v>
      </c>
      <c r="I152" s="7"/>
      <c r="J152" s="7"/>
      <c r="K152" s="7"/>
      <c r="L152" s="7"/>
      <c r="M152" s="7"/>
      <c r="N152" s="7"/>
      <c r="O152" s="7"/>
      <c r="P152" s="7"/>
      <c r="Q152" s="7"/>
      <c r="R152" s="7"/>
      <c r="S152" s="7"/>
      <c r="T152" s="7"/>
      <c r="U152" s="7"/>
      <c r="V152" s="7"/>
      <c r="W152" s="7"/>
      <c r="X152" s="7"/>
      <c r="Y152" s="7"/>
      <c r="Z152" s="7"/>
      <c r="AA152" s="7"/>
    </row>
    <row r="153">
      <c r="A153" s="18" t="s">
        <v>1162</v>
      </c>
      <c r="B153" s="18"/>
      <c r="C153" s="18" t="s">
        <v>1163</v>
      </c>
      <c r="D153" s="18" t="s">
        <v>1164</v>
      </c>
      <c r="E153" s="18"/>
      <c r="F153" s="18"/>
      <c r="G153" s="20" t="s">
        <v>1166</v>
      </c>
      <c r="H153" s="17" t="s">
        <v>778</v>
      </c>
      <c r="I153" s="7"/>
      <c r="J153" s="7"/>
      <c r="K153" s="7"/>
      <c r="L153" s="7"/>
      <c r="M153" s="7"/>
      <c r="N153" s="7"/>
      <c r="O153" s="7"/>
      <c r="P153" s="7"/>
      <c r="Q153" s="7"/>
      <c r="R153" s="7"/>
      <c r="S153" s="7"/>
      <c r="T153" s="7"/>
      <c r="U153" s="7"/>
      <c r="V153" s="7"/>
      <c r="W153" s="7"/>
      <c r="X153" s="7"/>
      <c r="Y153" s="7"/>
      <c r="Z153" s="7"/>
      <c r="AA153" s="7"/>
    </row>
    <row r="154">
      <c r="A154" s="18" t="s">
        <v>1170</v>
      </c>
      <c r="B154" s="18"/>
      <c r="C154" s="18" t="s">
        <v>1171</v>
      </c>
      <c r="D154" s="18" t="s">
        <v>1172</v>
      </c>
      <c r="E154" s="19">
        <v>9.197391972E11</v>
      </c>
      <c r="F154" s="18"/>
      <c r="G154" s="20" t="s">
        <v>1173</v>
      </c>
      <c r="H154" s="17" t="s">
        <v>778</v>
      </c>
      <c r="I154" s="7"/>
      <c r="J154" s="7"/>
      <c r="K154" s="7"/>
      <c r="L154" s="7"/>
      <c r="M154" s="7"/>
      <c r="N154" s="7"/>
      <c r="O154" s="7"/>
      <c r="P154" s="7"/>
      <c r="Q154" s="7"/>
      <c r="R154" s="7"/>
      <c r="S154" s="7"/>
      <c r="T154" s="7"/>
      <c r="U154" s="7"/>
      <c r="V154" s="7"/>
      <c r="W154" s="7"/>
      <c r="X154" s="7"/>
      <c r="Y154" s="7"/>
      <c r="Z154" s="7"/>
      <c r="AA154" s="7"/>
    </row>
    <row r="155">
      <c r="A155" s="18" t="s">
        <v>1177</v>
      </c>
      <c r="B155" s="18"/>
      <c r="C155" s="18" t="s">
        <v>1178</v>
      </c>
      <c r="D155" s="18" t="s">
        <v>1179</v>
      </c>
      <c r="E155" s="19">
        <v>9.19886340752E11</v>
      </c>
      <c r="F155" s="18"/>
      <c r="G155" s="20" t="s">
        <v>1180</v>
      </c>
      <c r="H155" s="17" t="s">
        <v>1008</v>
      </c>
      <c r="I155" s="7"/>
      <c r="J155" s="7"/>
      <c r="K155" s="7"/>
      <c r="L155" s="7"/>
      <c r="M155" s="7"/>
      <c r="N155" s="7"/>
      <c r="O155" s="7"/>
      <c r="P155" s="7"/>
      <c r="Q155" s="7"/>
      <c r="R155" s="7"/>
      <c r="S155" s="7"/>
      <c r="T155" s="7"/>
      <c r="U155" s="7"/>
      <c r="V155" s="7"/>
      <c r="W155" s="7"/>
      <c r="X155" s="7"/>
      <c r="Y155" s="7"/>
      <c r="Z155" s="7"/>
      <c r="AA155" s="7"/>
    </row>
    <row r="156">
      <c r="A156" s="18" t="s">
        <v>1183</v>
      </c>
      <c r="B156" s="18"/>
      <c r="C156" s="18" t="s">
        <v>1184</v>
      </c>
      <c r="D156" s="18" t="s">
        <v>1185</v>
      </c>
      <c r="E156" s="11">
        <v>8.033071313E9</v>
      </c>
      <c r="F156" s="18"/>
      <c r="G156" s="20" t="s">
        <v>1188</v>
      </c>
      <c r="H156" s="17" t="s">
        <v>1190</v>
      </c>
      <c r="I156" s="7"/>
      <c r="J156" s="7"/>
      <c r="K156" s="7"/>
      <c r="L156" s="7"/>
      <c r="M156" s="7"/>
      <c r="N156" s="7"/>
      <c r="O156" s="7"/>
      <c r="P156" s="7"/>
      <c r="Q156" s="7"/>
      <c r="R156" s="7"/>
      <c r="S156" s="7"/>
      <c r="T156" s="7"/>
      <c r="U156" s="7"/>
      <c r="V156" s="7"/>
      <c r="W156" s="7"/>
      <c r="X156" s="7"/>
      <c r="Y156" s="7"/>
      <c r="Z156" s="7"/>
      <c r="AA156" s="7"/>
    </row>
    <row r="157">
      <c r="A157" s="18" t="s">
        <v>1191</v>
      </c>
      <c r="B157" s="18"/>
      <c r="C157" s="18" t="s">
        <v>1192</v>
      </c>
      <c r="D157" s="18" t="s">
        <v>1193</v>
      </c>
      <c r="E157" s="19">
        <v>9.19066671699E11</v>
      </c>
      <c r="F157" s="18"/>
      <c r="G157" s="20" t="s">
        <v>1194</v>
      </c>
      <c r="H157" s="17" t="s">
        <v>1196</v>
      </c>
      <c r="I157" s="7"/>
      <c r="J157" s="7"/>
      <c r="K157" s="7"/>
      <c r="L157" s="7"/>
      <c r="M157" s="7"/>
      <c r="N157" s="7"/>
      <c r="O157" s="7"/>
      <c r="P157" s="7"/>
      <c r="Q157" s="7"/>
      <c r="R157" s="7"/>
      <c r="S157" s="7"/>
      <c r="T157" s="7"/>
      <c r="U157" s="7"/>
      <c r="V157" s="7"/>
      <c r="W157" s="7"/>
      <c r="X157" s="7"/>
      <c r="Y157" s="7"/>
      <c r="Z157" s="7"/>
      <c r="AA157" s="7"/>
    </row>
    <row r="158">
      <c r="A158" s="10" t="s">
        <v>1198</v>
      </c>
      <c r="B158" s="18"/>
      <c r="C158" s="18" t="s">
        <v>1199</v>
      </c>
      <c r="D158" s="18" t="s">
        <v>1200</v>
      </c>
      <c r="E158" s="72">
        <v>9.844671682E9</v>
      </c>
      <c r="F158" s="18" t="s">
        <v>1202</v>
      </c>
      <c r="G158" s="20" t="s">
        <v>1203</v>
      </c>
      <c r="H158" s="17" t="s">
        <v>1206</v>
      </c>
      <c r="I158" s="7"/>
      <c r="J158" s="7"/>
      <c r="K158" s="7"/>
      <c r="L158" s="7"/>
      <c r="M158" s="7"/>
      <c r="N158" s="7"/>
      <c r="O158" s="7"/>
      <c r="P158" s="7"/>
      <c r="Q158" s="7"/>
      <c r="R158" s="7"/>
      <c r="S158" s="7"/>
      <c r="T158" s="7"/>
      <c r="U158" s="7"/>
      <c r="V158" s="7"/>
      <c r="W158" s="7"/>
      <c r="X158" s="7"/>
      <c r="Y158" s="7"/>
      <c r="Z158" s="7"/>
      <c r="AA158" s="7"/>
    </row>
    <row r="159">
      <c r="A159" s="18" t="s">
        <v>1208</v>
      </c>
      <c r="B159" s="18"/>
      <c r="C159" s="18" t="s">
        <v>1209</v>
      </c>
      <c r="D159" s="18" t="s">
        <v>1210</v>
      </c>
      <c r="E159" s="18"/>
      <c r="F159" s="18" t="s">
        <v>1211</v>
      </c>
      <c r="G159" s="20" t="s">
        <v>1212</v>
      </c>
      <c r="H159" s="17"/>
      <c r="I159" s="7"/>
      <c r="J159" s="7"/>
      <c r="K159" s="7"/>
      <c r="L159" s="7"/>
      <c r="M159" s="7"/>
      <c r="N159" s="7"/>
      <c r="O159" s="7"/>
      <c r="P159" s="7"/>
      <c r="Q159" s="7"/>
      <c r="R159" s="7"/>
      <c r="S159" s="7"/>
      <c r="T159" s="7"/>
      <c r="U159" s="7"/>
      <c r="V159" s="7"/>
      <c r="W159" s="7"/>
      <c r="X159" s="7"/>
      <c r="Y159" s="7"/>
      <c r="Z159" s="7"/>
      <c r="AA159" s="7"/>
    </row>
    <row r="160">
      <c r="A160" s="18" t="s">
        <v>1214</v>
      </c>
      <c r="B160" s="18"/>
      <c r="C160" s="18" t="s">
        <v>1215</v>
      </c>
      <c r="D160" s="18" t="s">
        <v>1216</v>
      </c>
      <c r="E160" s="19">
        <v>9.19740402428E11</v>
      </c>
      <c r="F160" s="18"/>
      <c r="G160" s="20" t="s">
        <v>1217</v>
      </c>
      <c r="H160" s="17" t="s">
        <v>778</v>
      </c>
      <c r="I160" s="7"/>
      <c r="J160" s="7"/>
      <c r="K160" s="7"/>
      <c r="L160" s="7"/>
      <c r="M160" s="7"/>
      <c r="N160" s="7"/>
      <c r="O160" s="7"/>
      <c r="P160" s="7"/>
      <c r="Q160" s="7"/>
      <c r="R160" s="7"/>
      <c r="S160" s="7"/>
      <c r="T160" s="7"/>
      <c r="U160" s="7"/>
      <c r="V160" s="7"/>
      <c r="W160" s="7"/>
      <c r="X160" s="7"/>
      <c r="Y160" s="7"/>
      <c r="Z160" s="7"/>
      <c r="AA160" s="7"/>
    </row>
    <row r="161">
      <c r="A161" s="18" t="s">
        <v>1219</v>
      </c>
      <c r="B161" s="18"/>
      <c r="C161" s="18" t="s">
        <v>1220</v>
      </c>
      <c r="D161" s="18" t="s">
        <v>331</v>
      </c>
      <c r="E161" s="19">
        <v>9.18284996697E11</v>
      </c>
      <c r="F161" s="18"/>
      <c r="G161" s="20" t="s">
        <v>1221</v>
      </c>
      <c r="H161" s="17" t="s">
        <v>778</v>
      </c>
      <c r="I161" s="7"/>
      <c r="J161" s="7"/>
      <c r="K161" s="7"/>
      <c r="L161" s="7"/>
      <c r="M161" s="7"/>
      <c r="N161" s="7"/>
      <c r="O161" s="7"/>
      <c r="P161" s="7"/>
      <c r="Q161" s="7"/>
      <c r="R161" s="7"/>
      <c r="S161" s="7"/>
      <c r="T161" s="7"/>
      <c r="U161" s="7"/>
      <c r="V161" s="7"/>
      <c r="W161" s="7"/>
      <c r="X161" s="7"/>
      <c r="Y161" s="7"/>
      <c r="Z161" s="7"/>
      <c r="AA161" s="7"/>
    </row>
    <row r="162">
      <c r="A162" s="18" t="s">
        <v>1226</v>
      </c>
      <c r="B162" s="18"/>
      <c r="C162" s="18" t="s">
        <v>1227</v>
      </c>
      <c r="D162" s="18" t="s">
        <v>331</v>
      </c>
      <c r="E162" s="18" t="s">
        <v>1228</v>
      </c>
      <c r="F162" s="18"/>
      <c r="G162" s="20" t="s">
        <v>1229</v>
      </c>
      <c r="H162" s="17" t="s">
        <v>778</v>
      </c>
      <c r="I162" s="7"/>
      <c r="J162" s="7"/>
      <c r="K162" s="7"/>
      <c r="L162" s="7"/>
      <c r="M162" s="7"/>
      <c r="N162" s="7"/>
      <c r="O162" s="7"/>
      <c r="P162" s="7"/>
      <c r="Q162" s="7"/>
      <c r="R162" s="7"/>
      <c r="S162" s="7"/>
      <c r="T162" s="7"/>
      <c r="U162" s="7"/>
      <c r="V162" s="7"/>
      <c r="W162" s="7"/>
      <c r="X162" s="7"/>
      <c r="Y162" s="7"/>
      <c r="Z162" s="7"/>
      <c r="AA162" s="7"/>
    </row>
    <row r="163">
      <c r="A163" s="18" t="s">
        <v>1233</v>
      </c>
      <c r="B163" s="18"/>
      <c r="C163" s="18" t="s">
        <v>1234</v>
      </c>
      <c r="D163" s="18" t="s">
        <v>331</v>
      </c>
      <c r="E163" s="19">
        <v>9.19686156658E11</v>
      </c>
      <c r="F163" s="18"/>
      <c r="G163" s="20" t="s">
        <v>1235</v>
      </c>
      <c r="H163" s="17" t="s">
        <v>778</v>
      </c>
      <c r="I163" s="7"/>
      <c r="J163" s="7"/>
      <c r="K163" s="7"/>
      <c r="L163" s="7"/>
      <c r="M163" s="7"/>
      <c r="N163" s="7"/>
      <c r="O163" s="7"/>
      <c r="P163" s="7"/>
      <c r="Q163" s="7"/>
      <c r="R163" s="7"/>
      <c r="S163" s="7"/>
      <c r="T163" s="7"/>
      <c r="U163" s="7"/>
      <c r="V163" s="7"/>
      <c r="W163" s="7"/>
      <c r="X163" s="7"/>
      <c r="Y163" s="7"/>
      <c r="Z163" s="7"/>
      <c r="AA163" s="7"/>
    </row>
    <row r="164">
      <c r="A164" s="32" t="str">
        <f>IFERROR(__xludf.DUMMYFUNCTION("AI(""Fill an appropriate value for this cell based on the table context"")"),"Vijay Kumar")</f>
        <v>Vijay Kumar</v>
      </c>
      <c r="B164" s="18"/>
      <c r="C164" s="18" t="s">
        <v>1238</v>
      </c>
      <c r="D164" s="18"/>
      <c r="E164" s="18"/>
      <c r="F164" s="18"/>
      <c r="G164" s="18"/>
      <c r="H164" s="17"/>
      <c r="I164" s="7"/>
      <c r="J164" s="7"/>
      <c r="K164" s="7"/>
      <c r="L164" s="7"/>
      <c r="M164" s="7"/>
      <c r="N164" s="7"/>
      <c r="O164" s="7"/>
      <c r="P164" s="7"/>
      <c r="Q164" s="7"/>
      <c r="R164" s="7"/>
      <c r="S164" s="7"/>
      <c r="T164" s="7"/>
      <c r="U164" s="7"/>
      <c r="V164" s="7"/>
      <c r="W164" s="7"/>
      <c r="X164" s="7"/>
      <c r="Y164" s="7"/>
      <c r="Z164" s="7"/>
      <c r="AA164" s="7"/>
    </row>
    <row r="165">
      <c r="A165" s="18" t="s">
        <v>1241</v>
      </c>
      <c r="B165" s="18"/>
      <c r="C165" s="18" t="s">
        <v>1242</v>
      </c>
      <c r="D165" s="18" t="s">
        <v>1243</v>
      </c>
      <c r="E165" s="19">
        <v>1.732789857E10</v>
      </c>
      <c r="F165" s="18" t="s">
        <v>1244</v>
      </c>
      <c r="G165" s="20" t="s">
        <v>1246</v>
      </c>
      <c r="H165" s="17"/>
      <c r="I165" s="7"/>
      <c r="J165" s="7"/>
      <c r="K165" s="7"/>
      <c r="L165" s="7"/>
      <c r="M165" s="7"/>
      <c r="N165" s="7"/>
      <c r="O165" s="7"/>
      <c r="P165" s="7"/>
      <c r="Q165" s="7"/>
      <c r="R165" s="7"/>
      <c r="S165" s="7"/>
      <c r="T165" s="7"/>
      <c r="U165" s="7"/>
      <c r="V165" s="7"/>
      <c r="W165" s="7"/>
      <c r="X165" s="7"/>
      <c r="Y165" s="7"/>
      <c r="Z165" s="7"/>
      <c r="AA165" s="7"/>
    </row>
    <row r="166">
      <c r="A166" s="18" t="s">
        <v>1247</v>
      </c>
      <c r="B166" s="18"/>
      <c r="C166" s="18" t="s">
        <v>1248</v>
      </c>
      <c r="D166" s="18" t="s">
        <v>331</v>
      </c>
      <c r="E166" s="19">
        <v>9.198238181E11</v>
      </c>
      <c r="F166" s="18"/>
      <c r="G166" s="20" t="s">
        <v>1250</v>
      </c>
      <c r="H166" s="17" t="s">
        <v>778</v>
      </c>
      <c r="I166" s="7"/>
      <c r="J166" s="7"/>
      <c r="K166" s="7"/>
      <c r="L166" s="7"/>
      <c r="M166" s="7"/>
      <c r="N166" s="7"/>
      <c r="O166" s="7"/>
      <c r="P166" s="7"/>
      <c r="Q166" s="7"/>
      <c r="R166" s="7"/>
      <c r="S166" s="7"/>
      <c r="T166" s="7"/>
      <c r="U166" s="7"/>
      <c r="V166" s="7"/>
      <c r="W166" s="7"/>
      <c r="X166" s="7"/>
      <c r="Y166" s="7"/>
      <c r="Z166" s="7"/>
      <c r="AA166" s="7"/>
    </row>
    <row r="167">
      <c r="A167" s="18" t="s">
        <v>1254</v>
      </c>
      <c r="B167" s="18"/>
      <c r="C167" s="18" t="s">
        <v>1255</v>
      </c>
      <c r="D167" s="18" t="s">
        <v>1256</v>
      </c>
      <c r="E167" s="19">
        <v>9.19886019097E11</v>
      </c>
      <c r="F167" s="18"/>
      <c r="G167" s="20" t="s">
        <v>1257</v>
      </c>
      <c r="H167" s="17" t="s">
        <v>778</v>
      </c>
      <c r="I167" s="7"/>
      <c r="J167" s="7"/>
      <c r="K167" s="7"/>
      <c r="L167" s="7"/>
      <c r="M167" s="7"/>
      <c r="N167" s="7"/>
      <c r="O167" s="7"/>
      <c r="P167" s="7"/>
      <c r="Q167" s="7"/>
      <c r="R167" s="7"/>
      <c r="S167" s="7"/>
      <c r="T167" s="7"/>
      <c r="U167" s="7"/>
      <c r="V167" s="7"/>
      <c r="W167" s="7"/>
      <c r="X167" s="7"/>
      <c r="Y167" s="7"/>
      <c r="Z167" s="7"/>
      <c r="AA167" s="7"/>
    </row>
    <row r="168">
      <c r="A168" s="18" t="s">
        <v>1261</v>
      </c>
      <c r="B168" s="18"/>
      <c r="C168" s="18"/>
      <c r="D168" s="18"/>
      <c r="E168" s="18"/>
      <c r="F168" s="18"/>
      <c r="G168" s="18"/>
      <c r="H168" s="17"/>
      <c r="I168" s="7"/>
      <c r="J168" s="7"/>
      <c r="K168" s="7"/>
      <c r="L168" s="7"/>
      <c r="M168" s="7"/>
      <c r="N168" s="7"/>
      <c r="O168" s="7"/>
      <c r="P168" s="7"/>
      <c r="Q168" s="7"/>
      <c r="R168" s="7"/>
      <c r="S168" s="7"/>
      <c r="T168" s="7"/>
      <c r="U168" s="7"/>
      <c r="V168" s="7"/>
      <c r="W168" s="7"/>
      <c r="X168" s="7"/>
      <c r="Y168" s="7"/>
      <c r="Z168" s="7"/>
      <c r="AA168" s="7"/>
    </row>
    <row r="169">
      <c r="A169" s="18" t="s">
        <v>1264</v>
      </c>
      <c r="B169" s="18"/>
      <c r="C169" s="18" t="s">
        <v>1266</v>
      </c>
      <c r="D169" s="18" t="s">
        <v>150</v>
      </c>
      <c r="E169" s="19">
        <v>9.17395810319E11</v>
      </c>
      <c r="F169" s="18"/>
      <c r="G169" s="20" t="s">
        <v>1268</v>
      </c>
      <c r="H169" s="17" t="s">
        <v>778</v>
      </c>
      <c r="I169" s="7"/>
      <c r="J169" s="7"/>
      <c r="K169" s="7"/>
      <c r="L169" s="7"/>
      <c r="M169" s="7"/>
      <c r="N169" s="7"/>
      <c r="O169" s="7"/>
      <c r="P169" s="7"/>
      <c r="Q169" s="7"/>
      <c r="R169" s="7"/>
      <c r="S169" s="7"/>
      <c r="T169" s="7"/>
      <c r="U169" s="7"/>
      <c r="V169" s="7"/>
      <c r="W169" s="7"/>
      <c r="X169" s="7"/>
      <c r="Y169" s="7"/>
      <c r="Z169" s="7"/>
      <c r="AA169" s="7"/>
    </row>
    <row r="170">
      <c r="A170" s="18" t="s">
        <v>1269</v>
      </c>
      <c r="B170" s="18"/>
      <c r="C170" s="18" t="s">
        <v>1270</v>
      </c>
      <c r="D170" s="18" t="s">
        <v>1271</v>
      </c>
      <c r="E170" s="19">
        <v>9.19916576027E11</v>
      </c>
      <c r="F170" s="18"/>
      <c r="G170" s="20" t="s">
        <v>1272</v>
      </c>
      <c r="H170" s="17" t="s">
        <v>778</v>
      </c>
      <c r="I170" s="7"/>
      <c r="J170" s="7"/>
      <c r="K170" s="7"/>
      <c r="L170" s="7"/>
      <c r="M170" s="7"/>
      <c r="N170" s="7"/>
      <c r="O170" s="7"/>
      <c r="P170" s="7"/>
      <c r="Q170" s="7"/>
      <c r="R170" s="7"/>
      <c r="S170" s="7"/>
      <c r="T170" s="7"/>
      <c r="U170" s="7"/>
      <c r="V170" s="7"/>
      <c r="W170" s="7"/>
      <c r="X170" s="7"/>
      <c r="Y170" s="7"/>
      <c r="Z170" s="7"/>
      <c r="AA170" s="7"/>
    </row>
    <row r="171">
      <c r="A171" s="18" t="s">
        <v>1278</v>
      </c>
      <c r="B171" s="18"/>
      <c r="C171" s="18" t="s">
        <v>1279</v>
      </c>
      <c r="D171" s="18" t="s">
        <v>1280</v>
      </c>
      <c r="E171" s="18" t="s">
        <v>1281</v>
      </c>
      <c r="F171" s="18" t="s">
        <v>1283</v>
      </c>
      <c r="G171" s="20" t="s">
        <v>1284</v>
      </c>
      <c r="H171" s="17" t="s">
        <v>778</v>
      </c>
      <c r="I171" s="7"/>
      <c r="J171" s="7"/>
      <c r="K171" s="7"/>
      <c r="L171" s="7"/>
      <c r="M171" s="7"/>
      <c r="N171" s="7"/>
      <c r="O171" s="7"/>
      <c r="P171" s="7"/>
      <c r="Q171" s="7"/>
      <c r="R171" s="7"/>
      <c r="S171" s="7"/>
      <c r="T171" s="7"/>
      <c r="U171" s="7"/>
      <c r="V171" s="7"/>
      <c r="W171" s="7"/>
      <c r="X171" s="7"/>
      <c r="Y171" s="7"/>
      <c r="Z171" s="7"/>
      <c r="AA171" s="7"/>
    </row>
    <row r="172">
      <c r="A172" s="41" t="s">
        <v>1286</v>
      </c>
      <c r="B172" s="18"/>
      <c r="C172" s="18" t="s">
        <v>918</v>
      </c>
      <c r="D172" s="18" t="s">
        <v>1287</v>
      </c>
      <c r="E172" s="19">
        <v>9.19900116934E11</v>
      </c>
      <c r="F172" s="18"/>
      <c r="G172" s="20" t="s">
        <v>1288</v>
      </c>
      <c r="H172" s="17"/>
      <c r="I172" s="7"/>
      <c r="J172" s="7"/>
      <c r="K172" s="7"/>
      <c r="L172" s="7"/>
      <c r="M172" s="7"/>
      <c r="N172" s="7"/>
      <c r="O172" s="7"/>
      <c r="P172" s="7"/>
      <c r="Q172" s="7"/>
      <c r="R172" s="7"/>
      <c r="S172" s="7"/>
      <c r="T172" s="7"/>
      <c r="U172" s="7"/>
      <c r="V172" s="7"/>
      <c r="W172" s="7"/>
      <c r="X172" s="7"/>
      <c r="Y172" s="7"/>
      <c r="Z172" s="7"/>
      <c r="AA172" s="7"/>
    </row>
    <row r="173">
      <c r="A173" s="18" t="s">
        <v>1294</v>
      </c>
      <c r="B173" s="18"/>
      <c r="C173" s="18" t="s">
        <v>1295</v>
      </c>
      <c r="D173" s="18" t="s">
        <v>1296</v>
      </c>
      <c r="E173" s="19">
        <v>9.19972914008E11</v>
      </c>
      <c r="F173" s="18"/>
      <c r="G173" s="20" t="s">
        <v>1297</v>
      </c>
      <c r="H173" s="17" t="s">
        <v>778</v>
      </c>
      <c r="I173" s="7"/>
      <c r="J173" s="7"/>
      <c r="K173" s="7"/>
      <c r="L173" s="7"/>
      <c r="M173" s="7"/>
      <c r="N173" s="7"/>
      <c r="O173" s="7"/>
      <c r="P173" s="7"/>
      <c r="Q173" s="7"/>
      <c r="R173" s="7"/>
      <c r="S173" s="7"/>
      <c r="T173" s="7"/>
      <c r="U173" s="7"/>
      <c r="V173" s="7"/>
      <c r="W173" s="7"/>
      <c r="X173" s="7"/>
      <c r="Y173" s="7"/>
      <c r="Z173" s="7"/>
      <c r="AA173" s="7"/>
    </row>
    <row r="174">
      <c r="A174" s="18" t="s">
        <v>1304</v>
      </c>
      <c r="B174" s="18"/>
      <c r="C174" s="18" t="s">
        <v>1305</v>
      </c>
      <c r="D174" s="18" t="s">
        <v>1306</v>
      </c>
      <c r="E174" s="18"/>
      <c r="F174" s="18"/>
      <c r="G174" s="20" t="s">
        <v>1307</v>
      </c>
      <c r="H174" s="17" t="s">
        <v>778</v>
      </c>
      <c r="I174" s="7"/>
      <c r="J174" s="7"/>
      <c r="K174" s="7"/>
      <c r="L174" s="7"/>
      <c r="M174" s="7"/>
      <c r="N174" s="7"/>
      <c r="O174" s="7"/>
      <c r="P174" s="7"/>
      <c r="Q174" s="7"/>
      <c r="R174" s="7"/>
      <c r="S174" s="7"/>
      <c r="T174" s="7"/>
      <c r="U174" s="7"/>
      <c r="V174" s="7"/>
      <c r="W174" s="7"/>
      <c r="X174" s="7"/>
      <c r="Y174" s="7"/>
      <c r="Z174" s="7"/>
      <c r="AA174" s="7"/>
    </row>
    <row r="175">
      <c r="A175" s="18" t="s">
        <v>1308</v>
      </c>
      <c r="B175" s="18"/>
      <c r="C175" s="18" t="s">
        <v>1310</v>
      </c>
      <c r="D175" s="18" t="s">
        <v>478</v>
      </c>
      <c r="E175" s="19">
        <v>9.1805010111E11</v>
      </c>
      <c r="F175" s="18" t="s">
        <v>1314</v>
      </c>
      <c r="G175" s="20" t="s">
        <v>1315</v>
      </c>
      <c r="H175" s="17" t="s">
        <v>778</v>
      </c>
      <c r="I175" s="7"/>
      <c r="J175" s="7"/>
      <c r="K175" s="7"/>
      <c r="L175" s="7"/>
      <c r="M175" s="7"/>
      <c r="N175" s="7"/>
      <c r="O175" s="7"/>
      <c r="P175" s="7"/>
      <c r="Q175" s="7"/>
      <c r="R175" s="7"/>
      <c r="S175" s="7"/>
      <c r="T175" s="7"/>
      <c r="U175" s="7"/>
      <c r="V175" s="7"/>
      <c r="W175" s="7"/>
      <c r="X175" s="7"/>
      <c r="Y175" s="7"/>
      <c r="Z175" s="7"/>
      <c r="AA175" s="7"/>
    </row>
    <row r="176">
      <c r="A176" s="10" t="s">
        <v>1317</v>
      </c>
      <c r="B176" s="18"/>
      <c r="C176" s="18" t="s">
        <v>354</v>
      </c>
      <c r="D176" s="18" t="s">
        <v>1318</v>
      </c>
      <c r="E176" s="18" t="s">
        <v>1319</v>
      </c>
      <c r="F176" s="18"/>
      <c r="G176" s="20" t="s">
        <v>1321</v>
      </c>
      <c r="H176" s="17" t="s">
        <v>1327</v>
      </c>
      <c r="I176" s="7"/>
      <c r="J176" s="7"/>
      <c r="K176" s="7"/>
      <c r="L176" s="7"/>
      <c r="M176" s="7"/>
      <c r="N176" s="7"/>
      <c r="O176" s="7"/>
      <c r="P176" s="7"/>
      <c r="Q176" s="7"/>
      <c r="R176" s="7"/>
      <c r="S176" s="7"/>
      <c r="T176" s="7"/>
      <c r="U176" s="7"/>
      <c r="V176" s="7"/>
      <c r="W176" s="7"/>
      <c r="X176" s="7"/>
      <c r="Y176" s="7"/>
      <c r="Z176" s="7"/>
      <c r="AA176" s="7"/>
    </row>
    <row r="177">
      <c r="A177" s="18" t="s">
        <v>1328</v>
      </c>
      <c r="B177" s="18"/>
      <c r="C177" s="18" t="s">
        <v>953</v>
      </c>
      <c r="D177" s="18" t="s">
        <v>1329</v>
      </c>
      <c r="E177" s="18"/>
      <c r="F177" s="18"/>
      <c r="G177" s="20" t="s">
        <v>1330</v>
      </c>
      <c r="H177" s="17"/>
      <c r="I177" s="7"/>
      <c r="J177" s="7"/>
      <c r="K177" s="7"/>
      <c r="L177" s="7"/>
      <c r="M177" s="7"/>
      <c r="N177" s="7"/>
      <c r="O177" s="7"/>
      <c r="P177" s="7"/>
      <c r="Q177" s="7"/>
      <c r="R177" s="7"/>
      <c r="S177" s="7"/>
      <c r="T177" s="7"/>
      <c r="U177" s="7"/>
      <c r="V177" s="7"/>
      <c r="W177" s="7"/>
      <c r="X177" s="7"/>
      <c r="Y177" s="7"/>
      <c r="Z177" s="7"/>
      <c r="AA177" s="7"/>
    </row>
    <row r="178">
      <c r="A178" s="18" t="s">
        <v>1335</v>
      </c>
      <c r="B178" s="18"/>
      <c r="C178" s="18" t="s">
        <v>1336</v>
      </c>
      <c r="D178" s="18" t="s">
        <v>1337</v>
      </c>
      <c r="E178" s="19">
        <v>9.19844271715E11</v>
      </c>
      <c r="F178" s="18"/>
      <c r="G178" s="20" t="s">
        <v>1338</v>
      </c>
      <c r="H178" s="17" t="s">
        <v>778</v>
      </c>
      <c r="I178" s="7"/>
      <c r="J178" s="7"/>
      <c r="K178" s="7"/>
      <c r="L178" s="7"/>
      <c r="M178" s="7"/>
      <c r="N178" s="7"/>
      <c r="O178" s="7"/>
      <c r="P178" s="7"/>
      <c r="Q178" s="7"/>
      <c r="R178" s="7"/>
      <c r="S178" s="7"/>
      <c r="T178" s="7"/>
      <c r="U178" s="7"/>
      <c r="V178" s="7"/>
      <c r="W178" s="7"/>
      <c r="X178" s="7"/>
      <c r="Y178" s="7"/>
      <c r="Z178" s="7"/>
      <c r="AA178" s="7"/>
    </row>
    <row r="179">
      <c r="A179" s="18" t="s">
        <v>338</v>
      </c>
      <c r="B179" s="18"/>
      <c r="C179" s="18" t="s">
        <v>339</v>
      </c>
      <c r="D179" s="18" t="s">
        <v>340</v>
      </c>
      <c r="E179" s="19">
        <v>9.1984500605E11</v>
      </c>
      <c r="F179" s="18"/>
      <c r="G179" s="20" t="s">
        <v>1342</v>
      </c>
      <c r="H179" s="17" t="s">
        <v>778</v>
      </c>
      <c r="I179" s="7"/>
      <c r="J179" s="7"/>
      <c r="K179" s="7"/>
      <c r="L179" s="7"/>
      <c r="M179" s="7"/>
      <c r="N179" s="7"/>
      <c r="O179" s="7"/>
      <c r="P179" s="7"/>
      <c r="Q179" s="7"/>
      <c r="R179" s="7"/>
      <c r="S179" s="7"/>
      <c r="T179" s="7"/>
      <c r="U179" s="7"/>
      <c r="V179" s="7"/>
      <c r="W179" s="7"/>
      <c r="X179" s="7"/>
      <c r="Y179" s="7"/>
      <c r="Z179" s="7"/>
      <c r="AA179" s="7"/>
    </row>
    <row r="180">
      <c r="A180" s="18" t="s">
        <v>1345</v>
      </c>
      <c r="B180" s="18"/>
      <c r="C180" s="18" t="s">
        <v>1346</v>
      </c>
      <c r="D180" s="18" t="s">
        <v>1347</v>
      </c>
      <c r="E180" s="18" t="s">
        <v>1348</v>
      </c>
      <c r="F180" s="18"/>
      <c r="G180" s="20" t="s">
        <v>1349</v>
      </c>
      <c r="H180" s="17" t="s">
        <v>778</v>
      </c>
      <c r="I180" s="7"/>
      <c r="J180" s="7"/>
      <c r="K180" s="7"/>
      <c r="L180" s="7"/>
      <c r="M180" s="7"/>
      <c r="N180" s="7"/>
      <c r="O180" s="7"/>
      <c r="P180" s="7"/>
      <c r="Q180" s="7"/>
      <c r="R180" s="7"/>
      <c r="S180" s="7"/>
      <c r="T180" s="7"/>
      <c r="U180" s="7"/>
      <c r="V180" s="7"/>
      <c r="W180" s="7"/>
      <c r="X180" s="7"/>
      <c r="Y180" s="7"/>
      <c r="Z180" s="7"/>
      <c r="AA180" s="7"/>
    </row>
    <row r="181">
      <c r="A181" s="18" t="s">
        <v>1358</v>
      </c>
      <c r="B181" s="18"/>
      <c r="C181" s="18" t="s">
        <v>672</v>
      </c>
      <c r="D181" s="18" t="s">
        <v>1359</v>
      </c>
      <c r="E181" s="18" t="s">
        <v>1360</v>
      </c>
      <c r="F181" s="18" t="s">
        <v>1361</v>
      </c>
      <c r="G181" s="20" t="s">
        <v>1362</v>
      </c>
      <c r="H181" s="17" t="s">
        <v>778</v>
      </c>
      <c r="I181" s="7"/>
      <c r="J181" s="7"/>
      <c r="K181" s="7"/>
      <c r="L181" s="7"/>
      <c r="M181" s="7"/>
      <c r="N181" s="7"/>
      <c r="O181" s="7"/>
      <c r="P181" s="7"/>
      <c r="Q181" s="7"/>
      <c r="R181" s="7"/>
      <c r="S181" s="7"/>
      <c r="T181" s="7"/>
      <c r="U181" s="7"/>
      <c r="V181" s="7"/>
      <c r="W181" s="7"/>
      <c r="X181" s="7"/>
      <c r="Y181" s="7"/>
      <c r="Z181" s="7"/>
      <c r="AA181" s="7"/>
    </row>
    <row r="182">
      <c r="A182" s="18" t="s">
        <v>1366</v>
      </c>
      <c r="B182" s="18"/>
      <c r="C182" s="18" t="s">
        <v>1367</v>
      </c>
      <c r="D182" s="18" t="s">
        <v>1368</v>
      </c>
      <c r="E182" s="19">
        <f>918130390736</f>
        <v>918130390736</v>
      </c>
      <c r="F182" s="18"/>
      <c r="G182" s="20" t="s">
        <v>1370</v>
      </c>
      <c r="H182" s="17" t="s">
        <v>778</v>
      </c>
      <c r="I182" s="7"/>
      <c r="J182" s="7"/>
      <c r="K182" s="7"/>
      <c r="L182" s="7"/>
      <c r="M182" s="7"/>
      <c r="N182" s="7"/>
      <c r="O182" s="7"/>
      <c r="P182" s="7"/>
      <c r="Q182" s="7"/>
      <c r="R182" s="7"/>
      <c r="S182" s="7"/>
      <c r="T182" s="7"/>
      <c r="U182" s="7"/>
      <c r="V182" s="7"/>
      <c r="W182" s="7"/>
      <c r="X182" s="7"/>
      <c r="Y182" s="7"/>
      <c r="Z182" s="7"/>
      <c r="AA182" s="7"/>
    </row>
    <row r="183">
      <c r="A183" s="18" t="s">
        <v>1372</v>
      </c>
      <c r="B183" s="18"/>
      <c r="C183" s="18" t="s">
        <v>1373</v>
      </c>
      <c r="D183" s="18" t="s">
        <v>1374</v>
      </c>
      <c r="E183" s="18"/>
      <c r="F183" s="18"/>
      <c r="G183" s="18"/>
      <c r="H183" s="17"/>
      <c r="I183" s="7"/>
      <c r="J183" s="7"/>
      <c r="K183" s="7"/>
      <c r="L183" s="7"/>
      <c r="M183" s="7"/>
      <c r="N183" s="7"/>
      <c r="O183" s="7"/>
      <c r="P183" s="7"/>
      <c r="Q183" s="7"/>
      <c r="R183" s="7"/>
      <c r="S183" s="7"/>
      <c r="T183" s="7"/>
      <c r="U183" s="7"/>
      <c r="V183" s="7"/>
      <c r="W183" s="7"/>
      <c r="X183" s="7"/>
      <c r="Y183" s="7"/>
      <c r="Z183" s="7"/>
      <c r="AA183" s="7"/>
    </row>
    <row r="184">
      <c r="A184" s="18"/>
      <c r="B184" s="18"/>
      <c r="C184" s="18"/>
      <c r="D184" s="18"/>
      <c r="E184" s="18"/>
      <c r="F184" s="18"/>
      <c r="G184" s="18"/>
      <c r="H184" s="7"/>
      <c r="I184" s="7"/>
      <c r="J184" s="7"/>
      <c r="K184" s="7"/>
      <c r="L184" s="7"/>
      <c r="M184" s="7"/>
      <c r="N184" s="7"/>
      <c r="O184" s="7"/>
      <c r="P184" s="7"/>
      <c r="Q184" s="7"/>
      <c r="R184" s="7"/>
      <c r="S184" s="7"/>
      <c r="T184" s="7"/>
      <c r="U184" s="7"/>
      <c r="V184" s="7"/>
      <c r="W184" s="7"/>
      <c r="X184" s="7"/>
      <c r="Y184" s="7"/>
      <c r="Z184" s="7"/>
      <c r="AA184" s="7"/>
    </row>
    <row r="185">
      <c r="A185" s="75" t="s">
        <v>1378</v>
      </c>
      <c r="B185" s="18"/>
      <c r="C185" s="18" t="s">
        <v>1379</v>
      </c>
      <c r="D185" s="18" t="s">
        <v>1380</v>
      </c>
      <c r="E185" s="19">
        <v>9.18042066995E11</v>
      </c>
      <c r="F185" s="18" t="s">
        <v>1381</v>
      </c>
      <c r="G185" s="20" t="s">
        <v>1382</v>
      </c>
      <c r="H185" s="7"/>
      <c r="I185" s="7"/>
      <c r="J185" s="7"/>
      <c r="K185" s="7"/>
      <c r="L185" s="7"/>
      <c r="M185" s="7"/>
      <c r="N185" s="7"/>
      <c r="O185" s="7"/>
      <c r="P185" s="7"/>
      <c r="Q185" s="7"/>
      <c r="R185" s="7"/>
      <c r="S185" s="7"/>
      <c r="T185" s="7"/>
      <c r="U185" s="7"/>
      <c r="V185" s="7"/>
      <c r="W185" s="7"/>
      <c r="X185" s="7"/>
      <c r="Y185" s="7"/>
      <c r="Z185" s="7"/>
      <c r="AA185" s="7"/>
    </row>
    <row r="186">
      <c r="A186" s="10" t="s">
        <v>1387</v>
      </c>
      <c r="B186" s="18"/>
      <c r="C186" s="18" t="s">
        <v>1388</v>
      </c>
      <c r="D186" s="18" t="s">
        <v>87</v>
      </c>
      <c r="E186" s="18" t="s">
        <v>1389</v>
      </c>
      <c r="F186" s="18" t="s">
        <v>1390</v>
      </c>
      <c r="G186" s="20" t="s">
        <v>1391</v>
      </c>
      <c r="H186" s="7"/>
      <c r="I186" s="7"/>
      <c r="J186" s="7"/>
      <c r="K186" s="7"/>
      <c r="L186" s="7"/>
      <c r="M186" s="7"/>
      <c r="N186" s="7"/>
      <c r="O186" s="7"/>
      <c r="P186" s="7"/>
      <c r="Q186" s="7"/>
      <c r="R186" s="7"/>
      <c r="S186" s="7"/>
      <c r="T186" s="7"/>
      <c r="U186" s="7"/>
      <c r="V186" s="7"/>
      <c r="W186" s="7"/>
      <c r="X186" s="7"/>
      <c r="Y186" s="7"/>
      <c r="Z186" s="7"/>
      <c r="AA186" s="7"/>
    </row>
    <row r="187">
      <c r="A187" s="18" t="s">
        <v>1393</v>
      </c>
      <c r="B187" s="18"/>
      <c r="C187" s="18" t="s">
        <v>1394</v>
      </c>
      <c r="D187" s="18" t="s">
        <v>20</v>
      </c>
      <c r="E187" s="19">
        <v>9.19008556866E11</v>
      </c>
      <c r="F187" s="18" t="s">
        <v>1395</v>
      </c>
      <c r="G187" s="20" t="s">
        <v>1396</v>
      </c>
      <c r="H187" s="7" t="s">
        <v>1397</v>
      </c>
      <c r="I187" s="7"/>
      <c r="J187" s="7"/>
      <c r="K187" s="7"/>
      <c r="L187" s="7"/>
      <c r="M187" s="7"/>
      <c r="N187" s="7"/>
      <c r="O187" s="7"/>
      <c r="P187" s="7"/>
      <c r="Q187" s="7"/>
      <c r="R187" s="7"/>
      <c r="S187" s="7"/>
      <c r="T187" s="7"/>
      <c r="U187" s="7"/>
      <c r="V187" s="7"/>
      <c r="W187" s="7"/>
      <c r="X187" s="7"/>
      <c r="Y187" s="7"/>
      <c r="Z187" s="7"/>
      <c r="AA187" s="7"/>
    </row>
    <row r="188">
      <c r="A188" s="18" t="s">
        <v>1398</v>
      </c>
      <c r="B188" s="18"/>
      <c r="C188" s="18" t="s">
        <v>934</v>
      </c>
      <c r="D188" s="18" t="s">
        <v>1399</v>
      </c>
      <c r="E188" s="19">
        <v>9.19449818582E11</v>
      </c>
      <c r="F188" s="18" t="s">
        <v>1400</v>
      </c>
      <c r="G188" s="20" t="s">
        <v>1401</v>
      </c>
      <c r="H188" s="7" t="s">
        <v>778</v>
      </c>
      <c r="I188" s="7"/>
      <c r="J188" s="7"/>
      <c r="K188" s="7"/>
      <c r="L188" s="7"/>
      <c r="M188" s="7"/>
      <c r="N188" s="7"/>
      <c r="O188" s="7"/>
      <c r="P188" s="7"/>
      <c r="Q188" s="7"/>
      <c r="R188" s="7"/>
      <c r="S188" s="7"/>
      <c r="T188" s="7"/>
      <c r="U188" s="7"/>
      <c r="V188" s="7"/>
      <c r="W188" s="7"/>
      <c r="X188" s="7"/>
      <c r="Y188" s="7"/>
      <c r="Z188" s="7"/>
      <c r="AA188" s="7"/>
    </row>
    <row r="189">
      <c r="A189" s="18" t="s">
        <v>1402</v>
      </c>
      <c r="B189" s="18"/>
      <c r="C189" s="18" t="s">
        <v>1403</v>
      </c>
      <c r="D189" s="18" t="s">
        <v>1404</v>
      </c>
      <c r="E189" s="18" t="s">
        <v>1405</v>
      </c>
      <c r="F189" s="18" t="s">
        <v>1406</v>
      </c>
      <c r="G189" s="20" t="s">
        <v>1407</v>
      </c>
      <c r="H189" s="7"/>
      <c r="I189" s="7"/>
      <c r="J189" s="7"/>
      <c r="K189" s="7"/>
      <c r="L189" s="7"/>
      <c r="M189" s="7"/>
      <c r="N189" s="7"/>
      <c r="O189" s="7"/>
      <c r="P189" s="7"/>
      <c r="Q189" s="7"/>
      <c r="R189" s="7"/>
      <c r="S189" s="7"/>
      <c r="T189" s="7"/>
      <c r="U189" s="7"/>
      <c r="V189" s="7"/>
      <c r="W189" s="7"/>
      <c r="X189" s="7"/>
      <c r="Y189" s="7"/>
      <c r="Z189" s="7"/>
      <c r="AA189" s="7"/>
    </row>
    <row r="190">
      <c r="A190" s="18" t="s">
        <v>1408</v>
      </c>
      <c r="B190" s="18"/>
      <c r="C190" s="18" t="s">
        <v>1409</v>
      </c>
      <c r="D190" s="18" t="s">
        <v>678</v>
      </c>
      <c r="E190" s="18"/>
      <c r="F190" s="18" t="s">
        <v>1410</v>
      </c>
      <c r="G190" s="20" t="s">
        <v>1411</v>
      </c>
      <c r="H190" s="7"/>
      <c r="I190" s="7"/>
      <c r="J190" s="7"/>
      <c r="K190" s="7"/>
      <c r="L190" s="7"/>
      <c r="M190" s="7"/>
      <c r="N190" s="7"/>
      <c r="O190" s="7"/>
      <c r="P190" s="7"/>
      <c r="Q190" s="7"/>
      <c r="R190" s="7"/>
      <c r="S190" s="7"/>
      <c r="T190" s="7"/>
      <c r="U190" s="7"/>
      <c r="V190" s="7"/>
      <c r="W190" s="7"/>
      <c r="X190" s="7"/>
      <c r="Y190" s="7"/>
      <c r="Z190" s="7"/>
      <c r="AA190" s="7"/>
    </row>
    <row r="191">
      <c r="A191" s="18" t="s">
        <v>1412</v>
      </c>
      <c r="B191" s="18"/>
      <c r="C191" s="18" t="s">
        <v>873</v>
      </c>
      <c r="D191" s="18" t="s">
        <v>1413</v>
      </c>
      <c r="E191" s="19">
        <v>9.19845543389E11</v>
      </c>
      <c r="F191" s="18" t="s">
        <v>1414</v>
      </c>
      <c r="G191" s="20" t="s">
        <v>1415</v>
      </c>
      <c r="H191" s="7" t="s">
        <v>778</v>
      </c>
      <c r="I191" s="7"/>
      <c r="J191" s="7"/>
      <c r="K191" s="7"/>
      <c r="L191" s="7"/>
      <c r="M191" s="7"/>
      <c r="N191" s="7"/>
      <c r="O191" s="7"/>
      <c r="P191" s="7"/>
      <c r="Q191" s="7"/>
      <c r="R191" s="7"/>
      <c r="S191" s="7"/>
      <c r="T191" s="7"/>
      <c r="U191" s="7"/>
      <c r="V191" s="7"/>
      <c r="W191" s="7"/>
      <c r="X191" s="7"/>
      <c r="Y191" s="7"/>
      <c r="Z191" s="7"/>
      <c r="AA191" s="7"/>
    </row>
    <row r="192">
      <c r="A192" s="18" t="s">
        <v>1416</v>
      </c>
      <c r="B192" s="18"/>
      <c r="C192" s="18" t="s">
        <v>1417</v>
      </c>
      <c r="D192" s="18" t="s">
        <v>87</v>
      </c>
      <c r="E192" s="19">
        <v>9.19620081945E11</v>
      </c>
      <c r="F192" s="18" t="s">
        <v>1418</v>
      </c>
      <c r="G192" s="20" t="s">
        <v>1419</v>
      </c>
      <c r="H192" s="7" t="s">
        <v>778</v>
      </c>
      <c r="I192" s="7"/>
      <c r="J192" s="7"/>
      <c r="K192" s="7"/>
      <c r="L192" s="7"/>
      <c r="M192" s="7"/>
      <c r="N192" s="7"/>
      <c r="O192" s="7"/>
      <c r="P192" s="7"/>
      <c r="Q192" s="7"/>
      <c r="R192" s="7"/>
      <c r="S192" s="7"/>
      <c r="T192" s="7"/>
      <c r="U192" s="7"/>
      <c r="V192" s="7"/>
      <c r="W192" s="7"/>
      <c r="X192" s="7"/>
      <c r="Y192" s="7"/>
      <c r="Z192" s="7"/>
      <c r="AA192" s="7"/>
    </row>
    <row r="193">
      <c r="A193" s="18" t="s">
        <v>1420</v>
      </c>
      <c r="B193" s="18"/>
      <c r="C193" s="18" t="s">
        <v>1421</v>
      </c>
      <c r="D193" s="18" t="s">
        <v>87</v>
      </c>
      <c r="E193" s="18" t="s">
        <v>1422</v>
      </c>
      <c r="F193" s="18" t="s">
        <v>1423</v>
      </c>
      <c r="G193" s="20" t="s">
        <v>1424</v>
      </c>
      <c r="H193" s="7" t="s">
        <v>778</v>
      </c>
      <c r="I193" s="7"/>
      <c r="J193" s="7"/>
      <c r="K193" s="7"/>
      <c r="L193" s="7"/>
      <c r="M193" s="7"/>
      <c r="N193" s="7"/>
      <c r="O193" s="7"/>
      <c r="P193" s="7"/>
      <c r="Q193" s="7"/>
      <c r="R193" s="7"/>
      <c r="S193" s="7"/>
      <c r="T193" s="7"/>
      <c r="U193" s="7"/>
      <c r="V193" s="7"/>
      <c r="W193" s="7"/>
      <c r="X193" s="7"/>
      <c r="Y193" s="7"/>
      <c r="Z193" s="7"/>
      <c r="AA193" s="7"/>
    </row>
    <row r="194">
      <c r="A194" s="18" t="s">
        <v>1425</v>
      </c>
      <c r="B194" s="18"/>
      <c r="C194" s="18" t="s">
        <v>488</v>
      </c>
      <c r="D194" s="18" t="s">
        <v>646</v>
      </c>
      <c r="E194" s="18"/>
      <c r="F194" s="18" t="s">
        <v>1426</v>
      </c>
      <c r="G194" s="20" t="s">
        <v>1427</v>
      </c>
      <c r="H194" s="7"/>
      <c r="I194" s="7"/>
      <c r="J194" s="7"/>
      <c r="K194" s="7"/>
      <c r="L194" s="7"/>
      <c r="M194" s="7"/>
      <c r="N194" s="7"/>
      <c r="O194" s="7"/>
      <c r="P194" s="7"/>
      <c r="Q194" s="7"/>
      <c r="R194" s="7"/>
      <c r="S194" s="7"/>
      <c r="T194" s="7"/>
      <c r="U194" s="7"/>
      <c r="V194" s="7"/>
      <c r="W194" s="7"/>
      <c r="X194" s="7"/>
      <c r="Y194" s="7"/>
      <c r="Z194" s="7"/>
      <c r="AA194" s="7"/>
    </row>
    <row r="195">
      <c r="A195" s="18" t="s">
        <v>1428</v>
      </c>
      <c r="B195" s="18"/>
      <c r="C195" s="18" t="s">
        <v>1429</v>
      </c>
      <c r="D195" s="18" t="s">
        <v>1430</v>
      </c>
      <c r="E195" s="19">
        <v>9.19743990882E11</v>
      </c>
      <c r="F195" s="18" t="s">
        <v>1431</v>
      </c>
      <c r="G195" s="20" t="s">
        <v>1432</v>
      </c>
      <c r="H195" s="7" t="s">
        <v>778</v>
      </c>
      <c r="I195" s="7"/>
      <c r="J195" s="7"/>
      <c r="K195" s="7"/>
      <c r="L195" s="7"/>
      <c r="M195" s="7"/>
      <c r="N195" s="7"/>
      <c r="O195" s="7"/>
      <c r="P195" s="7"/>
      <c r="Q195" s="7"/>
      <c r="R195" s="7"/>
      <c r="S195" s="7"/>
      <c r="T195" s="7"/>
      <c r="U195" s="7"/>
      <c r="V195" s="7"/>
      <c r="W195" s="7"/>
      <c r="X195" s="7"/>
      <c r="Y195" s="7"/>
      <c r="Z195" s="7"/>
      <c r="AA195" s="7"/>
    </row>
    <row r="196">
      <c r="A196" s="18" t="s">
        <v>1433</v>
      </c>
      <c r="B196" s="18"/>
      <c r="C196" s="18" t="s">
        <v>1434</v>
      </c>
      <c r="D196" s="18" t="s">
        <v>1435</v>
      </c>
      <c r="E196" s="19">
        <v>9.18025522713E11</v>
      </c>
      <c r="F196" s="18" t="s">
        <v>1436</v>
      </c>
      <c r="G196" s="20" t="s">
        <v>1437</v>
      </c>
      <c r="H196" s="7" t="s">
        <v>778</v>
      </c>
      <c r="I196" s="7"/>
      <c r="J196" s="7"/>
      <c r="K196" s="7"/>
      <c r="L196" s="7"/>
      <c r="M196" s="7"/>
      <c r="N196" s="7"/>
      <c r="O196" s="7"/>
      <c r="P196" s="7"/>
      <c r="Q196" s="7"/>
      <c r="R196" s="7"/>
      <c r="S196" s="7"/>
      <c r="T196" s="7"/>
      <c r="U196" s="7"/>
      <c r="V196" s="7"/>
      <c r="W196" s="7"/>
      <c r="X196" s="7"/>
      <c r="Y196" s="7"/>
      <c r="Z196" s="7"/>
      <c r="AA196" s="7"/>
    </row>
    <row r="197">
      <c r="A197" s="41" t="s">
        <v>1438</v>
      </c>
      <c r="B197" s="18"/>
      <c r="C197" s="18" t="s">
        <v>269</v>
      </c>
      <c r="D197" s="18" t="s">
        <v>1439</v>
      </c>
      <c r="E197" s="19">
        <f>919686607607
</f>
        <v>919686607607</v>
      </c>
      <c r="F197" s="18"/>
      <c r="G197" s="20" t="s">
        <v>1440</v>
      </c>
      <c r="H197" s="7" t="s">
        <v>778</v>
      </c>
      <c r="I197" s="7"/>
      <c r="J197" s="7"/>
      <c r="K197" s="7"/>
      <c r="L197" s="7"/>
      <c r="M197" s="7"/>
      <c r="N197" s="7"/>
      <c r="O197" s="7"/>
      <c r="P197" s="7"/>
      <c r="Q197" s="7"/>
      <c r="R197" s="7"/>
      <c r="S197" s="7"/>
      <c r="T197" s="7"/>
      <c r="U197" s="7"/>
      <c r="V197" s="7"/>
      <c r="W197" s="7"/>
      <c r="X197" s="7"/>
      <c r="Y197" s="7"/>
      <c r="Z197" s="7"/>
      <c r="AA197" s="7"/>
    </row>
    <row r="198">
      <c r="A198" s="18" t="s">
        <v>1441</v>
      </c>
      <c r="B198" s="18"/>
      <c r="C198" s="18" t="s">
        <v>727</v>
      </c>
      <c r="D198" s="18" t="s">
        <v>1442</v>
      </c>
      <c r="E198" s="19">
        <f>919945660999
</f>
        <v>919945660999</v>
      </c>
      <c r="F198" s="18"/>
      <c r="G198" s="20" t="s">
        <v>1443</v>
      </c>
      <c r="H198" s="7" t="s">
        <v>778</v>
      </c>
      <c r="I198" s="7"/>
      <c r="J198" s="7"/>
      <c r="K198" s="7"/>
      <c r="L198" s="7"/>
      <c r="M198" s="7"/>
      <c r="N198" s="7"/>
      <c r="O198" s="7"/>
      <c r="P198" s="7"/>
      <c r="Q198" s="7"/>
      <c r="R198" s="7"/>
      <c r="S198" s="7"/>
      <c r="T198" s="7"/>
      <c r="U198" s="7"/>
      <c r="V198" s="7"/>
      <c r="W198" s="7"/>
      <c r="X198" s="7"/>
      <c r="Y198" s="7"/>
      <c r="Z198" s="7"/>
      <c r="AA198" s="7"/>
    </row>
    <row r="199">
      <c r="A199" s="10" t="s">
        <v>1444</v>
      </c>
      <c r="B199" s="18"/>
      <c r="C199" s="18" t="s">
        <v>1445</v>
      </c>
      <c r="D199" s="18" t="s">
        <v>646</v>
      </c>
      <c r="E199" s="19">
        <f>919900097015
</f>
        <v>919900097015</v>
      </c>
      <c r="F199" s="18" t="s">
        <v>1446</v>
      </c>
      <c r="G199" s="20" t="s">
        <v>1447</v>
      </c>
      <c r="H199" s="7" t="s">
        <v>1008</v>
      </c>
      <c r="I199" s="7"/>
      <c r="J199" s="7"/>
      <c r="K199" s="7"/>
      <c r="L199" s="7"/>
      <c r="M199" s="7"/>
      <c r="N199" s="7"/>
      <c r="O199" s="7"/>
      <c r="P199" s="7"/>
      <c r="Q199" s="7"/>
      <c r="R199" s="7"/>
      <c r="S199" s="7"/>
      <c r="T199" s="7"/>
      <c r="U199" s="7"/>
      <c r="V199" s="7"/>
      <c r="W199" s="7"/>
      <c r="X199" s="7"/>
      <c r="Y199" s="7"/>
      <c r="Z199" s="7"/>
      <c r="AA199" s="7"/>
    </row>
    <row r="200">
      <c r="A200" s="18" t="s">
        <v>1448</v>
      </c>
      <c r="B200" s="18"/>
      <c r="C200" s="18" t="s">
        <v>1449</v>
      </c>
      <c r="D200" s="18" t="s">
        <v>595</v>
      </c>
      <c r="E200" s="19">
        <f>+919840429706</f>
        <v>919840429706</v>
      </c>
      <c r="F200" s="18"/>
      <c r="G200" s="20" t="s">
        <v>1450</v>
      </c>
      <c r="H200" s="7" t="s">
        <v>778</v>
      </c>
      <c r="I200" s="7"/>
      <c r="J200" s="7"/>
      <c r="K200" s="7"/>
      <c r="L200" s="7"/>
      <c r="M200" s="7"/>
      <c r="N200" s="7"/>
      <c r="O200" s="7"/>
      <c r="P200" s="7"/>
      <c r="Q200" s="7"/>
      <c r="R200" s="7"/>
      <c r="S200" s="7"/>
      <c r="T200" s="7"/>
      <c r="U200" s="7"/>
      <c r="V200" s="7"/>
      <c r="W200" s="7"/>
      <c r="X200" s="7"/>
      <c r="Y200" s="7"/>
      <c r="Z200" s="7"/>
      <c r="AA200" s="7"/>
    </row>
    <row r="201">
      <c r="A201" s="18" t="s">
        <v>1451</v>
      </c>
      <c r="B201" s="18"/>
      <c r="C201" s="18" t="s">
        <v>1452</v>
      </c>
      <c r="D201" s="18" t="s">
        <v>410</v>
      </c>
      <c r="E201" s="19">
        <f>+919963822203</f>
        <v>919963822203</v>
      </c>
      <c r="F201" s="18" t="s">
        <v>1453</v>
      </c>
      <c r="G201" s="20" t="s">
        <v>1454</v>
      </c>
      <c r="H201" s="7" t="s">
        <v>778</v>
      </c>
      <c r="I201" s="7"/>
      <c r="J201" s="7"/>
      <c r="K201" s="7"/>
      <c r="L201" s="7"/>
      <c r="M201" s="7"/>
      <c r="N201" s="7"/>
      <c r="O201" s="7"/>
      <c r="P201" s="7"/>
      <c r="Q201" s="7"/>
      <c r="R201" s="7"/>
      <c r="S201" s="7"/>
      <c r="T201" s="7"/>
      <c r="U201" s="7"/>
      <c r="V201" s="7"/>
      <c r="W201" s="7"/>
      <c r="X201" s="7"/>
      <c r="Y201" s="7"/>
      <c r="Z201" s="7"/>
      <c r="AA201" s="7"/>
    </row>
    <row r="202">
      <c r="A202" s="18" t="s">
        <v>1455</v>
      </c>
      <c r="B202" s="18"/>
      <c r="C202" s="18" t="s">
        <v>1456</v>
      </c>
      <c r="D202" s="18" t="s">
        <v>1457</v>
      </c>
      <c r="E202" s="19">
        <f>917204031500</f>
        <v>917204031500</v>
      </c>
      <c r="F202" s="18" t="s">
        <v>1458</v>
      </c>
      <c r="G202" s="20" t="s">
        <v>1459</v>
      </c>
      <c r="H202" s="7" t="s">
        <v>778</v>
      </c>
      <c r="I202" s="7"/>
      <c r="J202" s="7"/>
      <c r="K202" s="7"/>
      <c r="L202" s="7"/>
      <c r="M202" s="7"/>
      <c r="N202" s="7"/>
      <c r="O202" s="7"/>
      <c r="P202" s="7"/>
      <c r="Q202" s="7"/>
      <c r="R202" s="7"/>
      <c r="S202" s="7"/>
      <c r="T202" s="7"/>
      <c r="U202" s="7"/>
      <c r="V202" s="7"/>
      <c r="W202" s="7"/>
      <c r="X202" s="7"/>
      <c r="Y202" s="7"/>
      <c r="Z202" s="7"/>
      <c r="AA202" s="7"/>
    </row>
    <row r="203">
      <c r="A203" s="18" t="s">
        <v>1460</v>
      </c>
      <c r="B203" s="18"/>
      <c r="C203" s="18" t="s">
        <v>1461</v>
      </c>
      <c r="D203" s="18" t="s">
        <v>1462</v>
      </c>
      <c r="E203" s="19">
        <v>9.17899787548E11</v>
      </c>
      <c r="F203" s="18"/>
      <c r="G203" s="20" t="s">
        <v>1463</v>
      </c>
      <c r="H203" s="7" t="s">
        <v>778</v>
      </c>
      <c r="I203" s="7"/>
      <c r="J203" s="7"/>
      <c r="K203" s="7"/>
      <c r="L203" s="7"/>
      <c r="M203" s="7"/>
      <c r="N203" s="7"/>
      <c r="O203" s="7"/>
      <c r="P203" s="7"/>
      <c r="Q203" s="7"/>
      <c r="R203" s="7"/>
      <c r="S203" s="7"/>
      <c r="T203" s="7"/>
      <c r="U203" s="7"/>
      <c r="V203" s="7"/>
      <c r="W203" s="7"/>
      <c r="X203" s="7"/>
      <c r="Y203" s="7"/>
      <c r="Z203" s="7"/>
      <c r="AA203" s="7"/>
    </row>
    <row r="204">
      <c r="A204" s="18" t="s">
        <v>1464</v>
      </c>
      <c r="B204" s="18"/>
      <c r="C204" s="18" t="s">
        <v>1248</v>
      </c>
      <c r="D204" s="18" t="s">
        <v>87</v>
      </c>
      <c r="E204" s="19">
        <v>9.19953150988E11</v>
      </c>
      <c r="F204" s="18" t="s">
        <v>1465</v>
      </c>
      <c r="G204" s="20" t="s">
        <v>1466</v>
      </c>
      <c r="H204" s="7" t="s">
        <v>778</v>
      </c>
      <c r="I204" s="7"/>
      <c r="J204" s="7"/>
      <c r="K204" s="7"/>
      <c r="L204" s="7"/>
      <c r="M204" s="7"/>
      <c r="N204" s="7"/>
      <c r="O204" s="7"/>
      <c r="P204" s="7"/>
      <c r="Q204" s="7"/>
      <c r="R204" s="7"/>
      <c r="S204" s="7"/>
      <c r="T204" s="7"/>
      <c r="U204" s="7"/>
      <c r="V204" s="7"/>
      <c r="W204" s="7"/>
      <c r="X204" s="7"/>
      <c r="Y204" s="7"/>
      <c r="Z204" s="7"/>
      <c r="AA204" s="7"/>
    </row>
    <row r="205">
      <c r="A205" s="18" t="s">
        <v>1467</v>
      </c>
      <c r="B205" s="18"/>
      <c r="C205" s="18" t="s">
        <v>1468</v>
      </c>
      <c r="D205" s="18" t="s">
        <v>87</v>
      </c>
      <c r="E205" s="19">
        <v>9.19686478492E11</v>
      </c>
      <c r="F205" s="18" t="s">
        <v>1469</v>
      </c>
      <c r="G205" s="20" t="s">
        <v>1470</v>
      </c>
      <c r="H205" s="7" t="s">
        <v>778</v>
      </c>
      <c r="I205" s="7"/>
      <c r="J205" s="7"/>
      <c r="K205" s="7"/>
      <c r="L205" s="7"/>
      <c r="M205" s="7"/>
      <c r="N205" s="7"/>
      <c r="O205" s="7"/>
      <c r="P205" s="7"/>
      <c r="Q205" s="7"/>
      <c r="R205" s="7"/>
      <c r="S205" s="7"/>
      <c r="T205" s="7"/>
      <c r="U205" s="7"/>
      <c r="V205" s="7"/>
      <c r="W205" s="7"/>
      <c r="X205" s="7"/>
      <c r="Y205" s="7"/>
      <c r="Z205" s="7"/>
      <c r="AA205" s="7"/>
    </row>
    <row r="206">
      <c r="A206" s="18" t="s">
        <v>1471</v>
      </c>
      <c r="B206" s="18"/>
      <c r="C206" s="18" t="s">
        <v>1472</v>
      </c>
      <c r="D206" s="18" t="s">
        <v>1473</v>
      </c>
      <c r="E206" s="19">
        <f>918197004029</f>
        <v>918197004029</v>
      </c>
      <c r="F206" s="18"/>
      <c r="G206" s="20" t="s">
        <v>1474</v>
      </c>
      <c r="H206" s="7" t="s">
        <v>778</v>
      </c>
      <c r="I206" s="7"/>
      <c r="J206" s="7"/>
      <c r="K206" s="7"/>
      <c r="L206" s="7"/>
      <c r="M206" s="7"/>
      <c r="N206" s="7"/>
      <c r="O206" s="7"/>
      <c r="P206" s="7"/>
      <c r="Q206" s="7"/>
      <c r="R206" s="7"/>
      <c r="S206" s="7"/>
      <c r="T206" s="7"/>
      <c r="U206" s="7"/>
      <c r="V206" s="7"/>
      <c r="W206" s="7"/>
      <c r="X206" s="7"/>
      <c r="Y206" s="7"/>
      <c r="Z206" s="7"/>
      <c r="AA206" s="7"/>
    </row>
    <row r="207">
      <c r="A207" s="18" t="s">
        <v>1475</v>
      </c>
      <c r="B207" s="18"/>
      <c r="C207" s="18" t="s">
        <v>1476</v>
      </c>
      <c r="D207" s="18" t="s">
        <v>1473</v>
      </c>
      <c r="E207" s="18"/>
      <c r="F207" s="18"/>
      <c r="G207" s="20" t="s">
        <v>1477</v>
      </c>
      <c r="H207" s="7"/>
      <c r="I207" s="7"/>
      <c r="J207" s="7"/>
      <c r="K207" s="7"/>
      <c r="L207" s="7"/>
      <c r="M207" s="7"/>
      <c r="N207" s="7"/>
      <c r="O207" s="7"/>
      <c r="P207" s="7"/>
      <c r="Q207" s="7"/>
      <c r="R207" s="7"/>
      <c r="S207" s="7"/>
      <c r="T207" s="7"/>
      <c r="U207" s="7"/>
      <c r="V207" s="7"/>
      <c r="W207" s="7"/>
      <c r="X207" s="7"/>
      <c r="Y207" s="7"/>
      <c r="Z207" s="7"/>
      <c r="AA207" s="7"/>
    </row>
    <row r="208">
      <c r="A208" s="18" t="s">
        <v>1478</v>
      </c>
      <c r="B208" s="18"/>
      <c r="C208" s="18" t="s">
        <v>1479</v>
      </c>
      <c r="D208" s="18" t="s">
        <v>1480</v>
      </c>
      <c r="E208" s="19">
        <v>9.19900668E11</v>
      </c>
      <c r="F208" s="18"/>
      <c r="G208" s="20" t="s">
        <v>1481</v>
      </c>
      <c r="H208" s="7" t="s">
        <v>778</v>
      </c>
      <c r="I208" s="7"/>
      <c r="J208" s="7"/>
      <c r="K208" s="7"/>
      <c r="L208" s="7"/>
      <c r="M208" s="7"/>
      <c r="N208" s="7"/>
      <c r="O208" s="7"/>
      <c r="P208" s="7"/>
      <c r="Q208" s="7"/>
      <c r="R208" s="7"/>
      <c r="S208" s="7"/>
      <c r="T208" s="7"/>
      <c r="U208" s="7"/>
      <c r="V208" s="7"/>
      <c r="W208" s="7"/>
      <c r="X208" s="7"/>
      <c r="Y208" s="7"/>
      <c r="Z208" s="7"/>
      <c r="AA208" s="7"/>
    </row>
    <row r="209">
      <c r="A209" s="18" t="s">
        <v>1482</v>
      </c>
      <c r="B209" s="18"/>
      <c r="C209" s="18" t="s">
        <v>414</v>
      </c>
      <c r="D209" s="18" t="s">
        <v>1483</v>
      </c>
      <c r="E209" s="18" t="s">
        <v>1484</v>
      </c>
      <c r="F209" s="18" t="s">
        <v>1485</v>
      </c>
      <c r="G209" s="20" t="s">
        <v>1486</v>
      </c>
      <c r="H209" s="7" t="s">
        <v>778</v>
      </c>
      <c r="I209" s="7"/>
      <c r="J209" s="7"/>
      <c r="K209" s="7"/>
      <c r="L209" s="7"/>
      <c r="M209" s="7"/>
      <c r="N209" s="7"/>
      <c r="O209" s="7"/>
      <c r="P209" s="7"/>
      <c r="Q209" s="7"/>
      <c r="R209" s="7"/>
      <c r="S209" s="7"/>
      <c r="T209" s="7"/>
      <c r="U209" s="7"/>
      <c r="V209" s="7"/>
      <c r="W209" s="7"/>
      <c r="X209" s="7"/>
      <c r="Y209" s="7"/>
      <c r="Z209" s="7"/>
      <c r="AA209" s="7"/>
    </row>
    <row r="210">
      <c r="A210" s="18" t="s">
        <v>1487</v>
      </c>
      <c r="B210" s="18"/>
      <c r="C210" s="18" t="s">
        <v>1488</v>
      </c>
      <c r="D210" s="18" t="s">
        <v>1489</v>
      </c>
      <c r="E210" s="19">
        <v>9.19740366422E11</v>
      </c>
      <c r="F210" s="18"/>
      <c r="G210" s="20" t="s">
        <v>1490</v>
      </c>
      <c r="H210" s="7" t="s">
        <v>778</v>
      </c>
      <c r="I210" s="7"/>
      <c r="J210" s="7"/>
      <c r="K210" s="7"/>
      <c r="L210" s="7"/>
      <c r="M210" s="7"/>
      <c r="N210" s="7"/>
      <c r="O210" s="7"/>
      <c r="P210" s="7"/>
      <c r="Q210" s="7"/>
      <c r="R210" s="7"/>
      <c r="S210" s="7"/>
      <c r="T210" s="7"/>
      <c r="U210" s="7"/>
      <c r="V210" s="7"/>
      <c r="W210" s="7"/>
      <c r="X210" s="7"/>
      <c r="Y210" s="7"/>
      <c r="Z210" s="7"/>
      <c r="AA210" s="7"/>
    </row>
    <row r="211">
      <c r="A211" s="18" t="s">
        <v>1491</v>
      </c>
      <c r="B211" s="18"/>
      <c r="C211" s="18" t="s">
        <v>1492</v>
      </c>
      <c r="D211" s="18" t="s">
        <v>73</v>
      </c>
      <c r="E211" s="19">
        <f>919972936982</f>
        <v>919972936982</v>
      </c>
      <c r="F211" s="18"/>
      <c r="G211" s="20" t="s">
        <v>1493</v>
      </c>
      <c r="H211" s="7" t="s">
        <v>778</v>
      </c>
      <c r="I211" s="7"/>
      <c r="J211" s="7"/>
      <c r="K211" s="7"/>
      <c r="L211" s="7"/>
      <c r="M211" s="7"/>
      <c r="N211" s="7"/>
      <c r="O211" s="7"/>
      <c r="P211" s="7"/>
      <c r="Q211" s="7"/>
      <c r="R211" s="7"/>
      <c r="S211" s="7"/>
      <c r="T211" s="7"/>
      <c r="U211" s="7"/>
      <c r="V211" s="7"/>
      <c r="W211" s="7"/>
      <c r="X211" s="7"/>
      <c r="Y211" s="7"/>
      <c r="Z211" s="7"/>
      <c r="AA211" s="7"/>
    </row>
    <row r="212">
      <c r="A212" s="18" t="s">
        <v>1494</v>
      </c>
      <c r="B212" s="18"/>
      <c r="C212" s="18" t="s">
        <v>1495</v>
      </c>
      <c r="D212" s="18" t="s">
        <v>1496</v>
      </c>
      <c r="E212" s="19">
        <f>919818470439</f>
        <v>919818470439</v>
      </c>
      <c r="F212" s="18"/>
      <c r="G212" s="20" t="s">
        <v>1497</v>
      </c>
      <c r="H212" s="7" t="s">
        <v>778</v>
      </c>
      <c r="I212" s="7"/>
      <c r="J212" s="7"/>
      <c r="K212" s="7"/>
      <c r="L212" s="7"/>
      <c r="M212" s="7"/>
      <c r="N212" s="7"/>
      <c r="O212" s="7"/>
      <c r="P212" s="7"/>
      <c r="Q212" s="7"/>
      <c r="R212" s="7"/>
      <c r="S212" s="7"/>
      <c r="T212" s="7"/>
      <c r="U212" s="7"/>
      <c r="V212" s="7"/>
      <c r="W212" s="7"/>
      <c r="X212" s="7"/>
      <c r="Y212" s="7"/>
      <c r="Z212" s="7"/>
      <c r="AA212" s="7"/>
    </row>
    <row r="213">
      <c r="A213" s="10" t="s">
        <v>1498</v>
      </c>
      <c r="B213" s="18"/>
      <c r="C213" s="18" t="s">
        <v>1499</v>
      </c>
      <c r="D213" s="18" t="s">
        <v>87</v>
      </c>
      <c r="E213" s="19">
        <f>919945541105</f>
        <v>919945541105</v>
      </c>
      <c r="F213" s="18"/>
      <c r="G213" s="20" t="s">
        <v>1500</v>
      </c>
      <c r="H213" s="7"/>
      <c r="I213" s="7"/>
      <c r="J213" s="7"/>
      <c r="K213" s="7"/>
      <c r="L213" s="7"/>
      <c r="M213" s="7"/>
      <c r="N213" s="7"/>
      <c r="O213" s="7"/>
      <c r="P213" s="7"/>
      <c r="Q213" s="7"/>
      <c r="R213" s="7"/>
      <c r="S213" s="7"/>
      <c r="T213" s="7"/>
      <c r="U213" s="7"/>
      <c r="V213" s="7"/>
      <c r="W213" s="7"/>
      <c r="X213" s="7"/>
      <c r="Y213" s="7"/>
      <c r="Z213" s="7"/>
      <c r="AA213" s="7"/>
    </row>
    <row r="214">
      <c r="A214" s="18" t="s">
        <v>1501</v>
      </c>
      <c r="B214" s="18"/>
      <c r="C214" s="18" t="s">
        <v>50</v>
      </c>
      <c r="D214" s="18" t="s">
        <v>331</v>
      </c>
      <c r="E214" s="19">
        <f>917032817011</f>
        <v>917032817011</v>
      </c>
      <c r="F214" s="18" t="s">
        <v>1502</v>
      </c>
      <c r="G214" s="20" t="s">
        <v>1503</v>
      </c>
      <c r="H214" s="7" t="s">
        <v>778</v>
      </c>
      <c r="I214" s="7"/>
      <c r="J214" s="7"/>
      <c r="K214" s="7"/>
      <c r="L214" s="7"/>
      <c r="M214" s="7"/>
      <c r="N214" s="7"/>
      <c r="O214" s="7"/>
      <c r="P214" s="7"/>
      <c r="Q214" s="7"/>
      <c r="R214" s="7"/>
      <c r="S214" s="7"/>
      <c r="T214" s="7"/>
      <c r="U214" s="7"/>
      <c r="V214" s="7"/>
      <c r="W214" s="7"/>
      <c r="X214" s="7"/>
      <c r="Y214" s="7"/>
      <c r="Z214" s="7"/>
      <c r="AA214" s="7"/>
    </row>
    <row r="215">
      <c r="A215" s="18" t="s">
        <v>1504</v>
      </c>
      <c r="B215" s="18"/>
      <c r="C215" s="18" t="s">
        <v>966</v>
      </c>
      <c r="D215" s="18" t="s">
        <v>1505</v>
      </c>
      <c r="E215" s="19">
        <f>917259113145</f>
        <v>917259113145</v>
      </c>
      <c r="F215" s="18"/>
      <c r="G215" s="20" t="s">
        <v>1506</v>
      </c>
      <c r="H215" s="7" t="s">
        <v>778</v>
      </c>
      <c r="I215" s="7"/>
      <c r="J215" s="7"/>
      <c r="K215" s="7"/>
      <c r="L215" s="7"/>
      <c r="M215" s="7"/>
      <c r="N215" s="7"/>
      <c r="O215" s="7"/>
      <c r="P215" s="7"/>
      <c r="Q215" s="7"/>
      <c r="R215" s="7"/>
      <c r="S215" s="7"/>
      <c r="T215" s="7"/>
      <c r="U215" s="7"/>
      <c r="V215" s="7"/>
      <c r="W215" s="7"/>
      <c r="X215" s="7"/>
      <c r="Y215" s="7"/>
      <c r="Z215" s="7"/>
      <c r="AA215" s="7"/>
    </row>
    <row r="216">
      <c r="A216" s="18" t="s">
        <v>1507</v>
      </c>
      <c r="B216" s="18"/>
      <c r="C216" s="18" t="s">
        <v>690</v>
      </c>
      <c r="D216" s="18" t="s">
        <v>1508</v>
      </c>
      <c r="E216" s="19">
        <f>919811920281</f>
        <v>919811920281</v>
      </c>
      <c r="F216" s="18"/>
      <c r="G216" s="20" t="s">
        <v>1509</v>
      </c>
      <c r="H216" s="7" t="s">
        <v>778</v>
      </c>
      <c r="I216" s="7"/>
      <c r="J216" s="7"/>
      <c r="K216" s="7"/>
      <c r="L216" s="7"/>
      <c r="M216" s="7"/>
      <c r="N216" s="7"/>
      <c r="O216" s="7"/>
      <c r="P216" s="7"/>
      <c r="Q216" s="7"/>
      <c r="R216" s="7"/>
      <c r="S216" s="7"/>
      <c r="T216" s="7"/>
      <c r="U216" s="7"/>
      <c r="V216" s="7"/>
      <c r="W216" s="7"/>
      <c r="X216" s="7"/>
      <c r="Y216" s="7"/>
      <c r="Z216" s="7"/>
      <c r="AA216" s="7"/>
    </row>
    <row r="217">
      <c r="A217" s="18" t="s">
        <v>1510</v>
      </c>
      <c r="B217" s="18"/>
      <c r="C217" s="18" t="s">
        <v>1511</v>
      </c>
      <c r="D217" s="18" t="s">
        <v>1473</v>
      </c>
      <c r="E217" s="19">
        <f>919900298333</f>
        <v>919900298333</v>
      </c>
      <c r="F217" s="18"/>
      <c r="G217" s="20" t="s">
        <v>1512</v>
      </c>
      <c r="H217" s="7" t="s">
        <v>1008</v>
      </c>
      <c r="I217" s="7"/>
      <c r="J217" s="7"/>
      <c r="K217" s="7"/>
      <c r="L217" s="7"/>
      <c r="M217" s="7"/>
      <c r="N217" s="7"/>
      <c r="O217" s="7"/>
      <c r="P217" s="7"/>
      <c r="Q217" s="7"/>
      <c r="R217" s="7"/>
      <c r="S217" s="7"/>
      <c r="T217" s="7"/>
      <c r="U217" s="7"/>
      <c r="V217" s="7"/>
      <c r="W217" s="7"/>
      <c r="X217" s="7"/>
      <c r="Y217" s="7"/>
      <c r="Z217" s="7"/>
      <c r="AA217" s="7"/>
    </row>
    <row r="218">
      <c r="A218" s="18" t="s">
        <v>1513</v>
      </c>
      <c r="B218" s="18"/>
      <c r="C218" s="18" t="s">
        <v>1514</v>
      </c>
      <c r="D218" s="18" t="s">
        <v>158</v>
      </c>
      <c r="E218" s="19">
        <f>919591997968</f>
        <v>919591997968</v>
      </c>
      <c r="F218" s="18"/>
      <c r="G218" s="20" t="s">
        <v>1515</v>
      </c>
      <c r="H218" s="7" t="s">
        <v>778</v>
      </c>
      <c r="I218" s="7"/>
      <c r="J218" s="7"/>
      <c r="K218" s="7"/>
      <c r="L218" s="7"/>
      <c r="M218" s="7"/>
      <c r="N218" s="7"/>
      <c r="O218" s="7"/>
      <c r="P218" s="7"/>
      <c r="Q218" s="7"/>
      <c r="R218" s="7"/>
      <c r="S218" s="7"/>
      <c r="T218" s="7"/>
      <c r="U218" s="7"/>
      <c r="V218" s="7"/>
      <c r="W218" s="7"/>
      <c r="X218" s="7"/>
      <c r="Y218" s="7"/>
      <c r="Z218" s="7"/>
      <c r="AA218" s="7"/>
    </row>
    <row r="219">
      <c r="A219" s="18" t="s">
        <v>1516</v>
      </c>
      <c r="B219" s="18"/>
      <c r="C219" s="18" t="s">
        <v>1517</v>
      </c>
      <c r="D219" s="18" t="s">
        <v>189</v>
      </c>
      <c r="E219" s="18"/>
      <c r="F219" s="18"/>
      <c r="G219" s="20" t="s">
        <v>1518</v>
      </c>
      <c r="H219" s="7" t="s">
        <v>778</v>
      </c>
      <c r="I219" s="7"/>
      <c r="J219" s="7"/>
      <c r="K219" s="7"/>
      <c r="L219" s="7"/>
      <c r="M219" s="7"/>
      <c r="N219" s="7"/>
      <c r="O219" s="7"/>
      <c r="P219" s="7"/>
      <c r="Q219" s="7"/>
      <c r="R219" s="7"/>
      <c r="S219" s="7"/>
      <c r="T219" s="7"/>
      <c r="U219" s="7"/>
      <c r="V219" s="7"/>
      <c r="W219" s="7"/>
      <c r="X219" s="7"/>
      <c r="Y219" s="7"/>
      <c r="Z219" s="7"/>
      <c r="AA219" s="7"/>
    </row>
    <row r="220">
      <c r="A220" s="18" t="s">
        <v>1519</v>
      </c>
      <c r="B220" s="18"/>
      <c r="C220" s="18" t="s">
        <v>1520</v>
      </c>
      <c r="D220" s="18" t="s">
        <v>20</v>
      </c>
      <c r="E220" s="19">
        <f>919886757838</f>
        <v>919886757838</v>
      </c>
      <c r="F220" s="18"/>
      <c r="G220" s="20" t="s">
        <v>1521</v>
      </c>
      <c r="H220" s="7" t="s">
        <v>778</v>
      </c>
      <c r="I220" s="7"/>
      <c r="J220" s="7"/>
      <c r="K220" s="7"/>
      <c r="L220" s="7"/>
      <c r="M220" s="7"/>
      <c r="N220" s="7"/>
      <c r="O220" s="7"/>
      <c r="P220" s="7"/>
      <c r="Q220" s="7"/>
      <c r="R220" s="7"/>
      <c r="S220" s="7"/>
      <c r="T220" s="7"/>
      <c r="U220" s="7"/>
      <c r="V220" s="7"/>
      <c r="W220" s="7"/>
      <c r="X220" s="7"/>
      <c r="Y220" s="7"/>
      <c r="Z220" s="7"/>
      <c r="AA220" s="7"/>
    </row>
    <row r="221">
      <c r="A221" s="18" t="s">
        <v>1522</v>
      </c>
      <c r="B221" s="18"/>
      <c r="C221" s="18" t="s">
        <v>1523</v>
      </c>
      <c r="D221" s="18" t="s">
        <v>1524</v>
      </c>
      <c r="E221" s="19">
        <f>919845042229</f>
        <v>919845042229</v>
      </c>
      <c r="F221" s="18"/>
      <c r="G221" s="20" t="s">
        <v>1525</v>
      </c>
      <c r="H221" s="7" t="s">
        <v>778</v>
      </c>
      <c r="I221" s="7"/>
      <c r="J221" s="7"/>
      <c r="K221" s="7"/>
      <c r="L221" s="7"/>
      <c r="M221" s="7"/>
      <c r="N221" s="7"/>
      <c r="O221" s="7"/>
      <c r="P221" s="7"/>
      <c r="Q221" s="7"/>
      <c r="R221" s="7"/>
      <c r="S221" s="7"/>
      <c r="T221" s="7"/>
      <c r="U221" s="7"/>
      <c r="V221" s="7"/>
      <c r="W221" s="7"/>
      <c r="X221" s="7"/>
      <c r="Y221" s="7"/>
      <c r="Z221" s="7"/>
      <c r="AA221" s="7"/>
    </row>
    <row r="222">
      <c r="A222" s="6" t="s">
        <v>1526</v>
      </c>
      <c r="B222" s="18"/>
      <c r="C222" s="18" t="s">
        <v>1527</v>
      </c>
      <c r="D222" s="18" t="s">
        <v>1528</v>
      </c>
      <c r="E222" s="19">
        <f>919972309782</f>
        <v>919972309782</v>
      </c>
      <c r="F222" s="18"/>
      <c r="G222" s="20" t="s">
        <v>1529</v>
      </c>
      <c r="H222" s="7"/>
      <c r="I222" s="7"/>
      <c r="J222" s="7"/>
      <c r="K222" s="7"/>
      <c r="L222" s="7"/>
      <c r="M222" s="7"/>
      <c r="N222" s="7"/>
      <c r="O222" s="7"/>
      <c r="P222" s="7"/>
      <c r="Q222" s="7"/>
      <c r="R222" s="7"/>
      <c r="S222" s="7"/>
      <c r="T222" s="7"/>
      <c r="U222" s="7"/>
      <c r="V222" s="7"/>
      <c r="W222" s="7"/>
      <c r="X222" s="7"/>
      <c r="Y222" s="7"/>
      <c r="Z222" s="7"/>
      <c r="AA222" s="7"/>
    </row>
    <row r="223">
      <c r="A223" s="66" t="s">
        <v>1530</v>
      </c>
      <c r="B223" s="66"/>
      <c r="C223" s="66" t="s">
        <v>1531</v>
      </c>
      <c r="D223" s="66" t="s">
        <v>1532</v>
      </c>
      <c r="E223" s="76">
        <f>919650319292</f>
        <v>919650319292</v>
      </c>
      <c r="F223" s="18"/>
      <c r="G223" s="20" t="s">
        <v>1533</v>
      </c>
      <c r="H223" s="7"/>
      <c r="I223" s="7"/>
      <c r="J223" s="7"/>
      <c r="K223" s="7"/>
      <c r="L223" s="7"/>
      <c r="M223" s="7"/>
      <c r="N223" s="7"/>
      <c r="O223" s="7"/>
      <c r="P223" s="7"/>
      <c r="Q223" s="7"/>
      <c r="R223" s="7"/>
      <c r="S223" s="7"/>
      <c r="T223" s="7"/>
      <c r="U223" s="7"/>
      <c r="V223" s="7"/>
      <c r="W223" s="7"/>
      <c r="X223" s="7"/>
      <c r="Y223" s="7"/>
      <c r="Z223" s="7"/>
      <c r="AA223" s="7"/>
    </row>
    <row r="224">
      <c r="A224" s="18" t="s">
        <v>1534</v>
      </c>
      <c r="B224" s="18"/>
      <c r="C224" s="18" t="s">
        <v>1535</v>
      </c>
      <c r="D224" s="18" t="s">
        <v>1536</v>
      </c>
      <c r="E224" s="18"/>
      <c r="F224" s="18"/>
      <c r="G224" s="20" t="s">
        <v>1537</v>
      </c>
      <c r="H224" s="7"/>
      <c r="I224" s="7"/>
      <c r="J224" s="7"/>
      <c r="K224" s="7"/>
      <c r="L224" s="7"/>
      <c r="M224" s="7"/>
      <c r="N224" s="7"/>
      <c r="O224" s="7"/>
      <c r="P224" s="7"/>
      <c r="Q224" s="7"/>
      <c r="R224" s="7"/>
      <c r="S224" s="7"/>
      <c r="T224" s="7"/>
      <c r="U224" s="7"/>
      <c r="V224" s="7"/>
      <c r="W224" s="7"/>
      <c r="X224" s="7"/>
      <c r="Y224" s="7"/>
      <c r="Z224" s="7"/>
      <c r="AA224" s="7"/>
    </row>
    <row r="225">
      <c r="A225" s="18" t="s">
        <v>1538</v>
      </c>
      <c r="B225" s="18"/>
      <c r="C225" s="18" t="s">
        <v>236</v>
      </c>
      <c r="D225" s="18" t="s">
        <v>1539</v>
      </c>
      <c r="E225" s="18" t="s">
        <v>238</v>
      </c>
      <c r="F225" s="18"/>
      <c r="G225" s="20" t="s">
        <v>239</v>
      </c>
      <c r="H225" s="7" t="s">
        <v>778</v>
      </c>
      <c r="I225" s="7"/>
      <c r="J225" s="7"/>
      <c r="K225" s="7"/>
      <c r="L225" s="7"/>
      <c r="M225" s="7"/>
      <c r="N225" s="7"/>
      <c r="O225" s="7"/>
      <c r="P225" s="7"/>
      <c r="Q225" s="7"/>
      <c r="R225" s="7"/>
      <c r="S225" s="7"/>
      <c r="T225" s="7"/>
      <c r="U225" s="7"/>
      <c r="V225" s="7"/>
      <c r="W225" s="7"/>
      <c r="X225" s="7"/>
      <c r="Y225" s="7"/>
      <c r="Z225" s="7"/>
      <c r="AA225" s="7"/>
    </row>
    <row r="226">
      <c r="A226" s="18" t="s">
        <v>1540</v>
      </c>
      <c r="B226" s="18"/>
      <c r="C226" s="18" t="s">
        <v>1541</v>
      </c>
      <c r="D226" s="18" t="s">
        <v>1542</v>
      </c>
      <c r="E226" s="19">
        <f>919643100402</f>
        <v>919643100402</v>
      </c>
      <c r="F226" s="18"/>
      <c r="G226" s="20" t="s">
        <v>1543</v>
      </c>
      <c r="H226" s="7" t="s">
        <v>778</v>
      </c>
      <c r="I226" s="7"/>
      <c r="J226" s="7"/>
      <c r="K226" s="7"/>
      <c r="L226" s="7"/>
      <c r="M226" s="7"/>
      <c r="N226" s="7"/>
      <c r="O226" s="7"/>
      <c r="P226" s="7"/>
      <c r="Q226" s="7"/>
      <c r="R226" s="7"/>
      <c r="S226" s="7"/>
      <c r="T226" s="7"/>
      <c r="U226" s="7"/>
      <c r="V226" s="7"/>
      <c r="W226" s="7"/>
      <c r="X226" s="7"/>
      <c r="Y226" s="7"/>
      <c r="Z226" s="7"/>
      <c r="AA226" s="7"/>
    </row>
    <row r="227">
      <c r="A227" s="41" t="s">
        <v>1544</v>
      </c>
      <c r="B227" s="18"/>
      <c r="C227" s="18" t="s">
        <v>1545</v>
      </c>
      <c r="D227" s="18" t="s">
        <v>1546</v>
      </c>
      <c r="E227" s="19">
        <f>918106997373</f>
        <v>918106997373</v>
      </c>
      <c r="F227" s="18"/>
      <c r="G227" s="20" t="s">
        <v>1547</v>
      </c>
      <c r="H227" s="7" t="s">
        <v>778</v>
      </c>
      <c r="I227" s="7"/>
      <c r="J227" s="7"/>
      <c r="K227" s="7"/>
      <c r="L227" s="7"/>
      <c r="M227" s="7"/>
      <c r="N227" s="7"/>
      <c r="O227" s="7"/>
      <c r="P227" s="7"/>
      <c r="Q227" s="7"/>
      <c r="R227" s="7"/>
      <c r="S227" s="7"/>
      <c r="T227" s="7"/>
      <c r="U227" s="7"/>
      <c r="V227" s="7"/>
      <c r="W227" s="7"/>
      <c r="X227" s="7"/>
      <c r="Y227" s="7"/>
      <c r="Z227" s="7"/>
      <c r="AA227" s="7"/>
    </row>
    <row r="228">
      <c r="A228" s="18" t="s">
        <v>1548</v>
      </c>
      <c r="B228" s="18"/>
      <c r="C228" s="18" t="s">
        <v>1549</v>
      </c>
      <c r="D228" s="18" t="s">
        <v>1550</v>
      </c>
      <c r="E228" s="19">
        <f>919538411488</f>
        <v>919538411488</v>
      </c>
      <c r="F228" s="18"/>
      <c r="G228" s="20" t="s">
        <v>1551</v>
      </c>
      <c r="H228" s="7" t="s">
        <v>1552</v>
      </c>
      <c r="I228" s="7"/>
      <c r="J228" s="7"/>
      <c r="K228" s="7"/>
      <c r="L228" s="7"/>
      <c r="M228" s="7"/>
      <c r="N228" s="7"/>
      <c r="O228" s="7"/>
      <c r="P228" s="7"/>
      <c r="Q228" s="7"/>
      <c r="R228" s="7"/>
      <c r="S228" s="7"/>
      <c r="T228" s="7"/>
      <c r="U228" s="7"/>
      <c r="V228" s="7"/>
      <c r="W228" s="7"/>
      <c r="X228" s="7"/>
      <c r="Y228" s="7"/>
      <c r="Z228" s="7"/>
      <c r="AA228" s="7"/>
    </row>
    <row r="229">
      <c r="A229" s="18" t="s">
        <v>1553</v>
      </c>
      <c r="B229" s="18"/>
      <c r="C229" s="18" t="s">
        <v>1554</v>
      </c>
      <c r="D229" s="18" t="s">
        <v>1555</v>
      </c>
      <c r="E229" s="18"/>
      <c r="F229" s="18"/>
      <c r="G229" s="20" t="s">
        <v>1556</v>
      </c>
      <c r="H229" s="7" t="s">
        <v>1557</v>
      </c>
      <c r="I229" s="7"/>
      <c r="J229" s="7"/>
      <c r="K229" s="7"/>
      <c r="L229" s="7"/>
      <c r="M229" s="7"/>
      <c r="N229" s="7"/>
      <c r="O229" s="7"/>
      <c r="P229" s="7"/>
      <c r="Q229" s="7"/>
      <c r="R229" s="7"/>
      <c r="S229" s="7"/>
      <c r="T229" s="7"/>
      <c r="U229" s="7"/>
      <c r="V229" s="7"/>
      <c r="W229" s="7"/>
      <c r="X229" s="7"/>
      <c r="Y229" s="7"/>
      <c r="Z229" s="7"/>
      <c r="AA229" s="7"/>
    </row>
    <row r="230">
      <c r="A230" s="18" t="s">
        <v>1558</v>
      </c>
      <c r="B230" s="18"/>
      <c r="C230" s="18"/>
      <c r="D230" s="18" t="s">
        <v>1559</v>
      </c>
      <c r="E230" s="19">
        <f>919987233418</f>
        <v>919987233418</v>
      </c>
      <c r="F230" s="18"/>
      <c r="G230" s="20" t="s">
        <v>1560</v>
      </c>
      <c r="H230" s="7" t="s">
        <v>1557</v>
      </c>
      <c r="I230" s="7"/>
      <c r="J230" s="7"/>
      <c r="K230" s="7"/>
      <c r="L230" s="7"/>
      <c r="M230" s="7"/>
      <c r="N230" s="7"/>
      <c r="O230" s="7"/>
      <c r="P230" s="7"/>
      <c r="Q230" s="7"/>
      <c r="R230" s="7"/>
      <c r="S230" s="7"/>
      <c r="T230" s="7"/>
      <c r="U230" s="7"/>
      <c r="V230" s="7"/>
      <c r="W230" s="7"/>
      <c r="X230" s="7"/>
      <c r="Y230" s="7"/>
      <c r="Z230" s="7"/>
      <c r="AA230" s="7"/>
    </row>
    <row r="231">
      <c r="A231" s="18" t="s">
        <v>1561</v>
      </c>
      <c r="B231" s="18"/>
      <c r="C231" s="18" t="s">
        <v>1562</v>
      </c>
      <c r="D231" s="18" t="s">
        <v>1130</v>
      </c>
      <c r="E231" s="19">
        <f>919845114937</f>
        <v>919845114937</v>
      </c>
      <c r="F231" s="18"/>
      <c r="G231" s="20" t="s">
        <v>1563</v>
      </c>
      <c r="H231" s="7" t="s">
        <v>1557</v>
      </c>
      <c r="I231" s="7"/>
      <c r="J231" s="7"/>
      <c r="K231" s="7"/>
      <c r="L231" s="7"/>
      <c r="M231" s="7"/>
      <c r="N231" s="7"/>
      <c r="O231" s="7"/>
      <c r="P231" s="7"/>
      <c r="Q231" s="7"/>
      <c r="R231" s="7"/>
      <c r="S231" s="7"/>
      <c r="T231" s="7"/>
      <c r="U231" s="7"/>
      <c r="V231" s="7"/>
      <c r="W231" s="7"/>
      <c r="X231" s="7"/>
      <c r="Y231" s="7"/>
      <c r="Z231" s="7"/>
      <c r="AA231" s="7"/>
    </row>
    <row r="232">
      <c r="A232" s="6" t="s">
        <v>1564</v>
      </c>
      <c r="B232" s="18"/>
      <c r="C232" s="18" t="s">
        <v>79</v>
      </c>
      <c r="D232" s="18" t="s">
        <v>87</v>
      </c>
      <c r="E232" s="19">
        <f>919886897332</f>
        <v>919886897332</v>
      </c>
      <c r="F232" s="18" t="s">
        <v>1565</v>
      </c>
      <c r="G232" s="20" t="s">
        <v>1566</v>
      </c>
      <c r="H232" s="7"/>
      <c r="I232" s="7"/>
      <c r="J232" s="7"/>
      <c r="K232" s="7"/>
      <c r="L232" s="7"/>
      <c r="M232" s="7"/>
      <c r="N232" s="7"/>
      <c r="O232" s="7"/>
      <c r="P232" s="7"/>
      <c r="Q232" s="7"/>
      <c r="R232" s="7"/>
      <c r="S232" s="7"/>
      <c r="T232" s="7"/>
      <c r="U232" s="7"/>
      <c r="V232" s="7"/>
      <c r="W232" s="7"/>
      <c r="X232" s="7"/>
      <c r="Y232" s="7"/>
      <c r="Z232" s="7"/>
      <c r="AA232" s="7"/>
    </row>
    <row r="233">
      <c r="A233" s="18" t="s">
        <v>1567</v>
      </c>
      <c r="B233" s="18"/>
      <c r="C233" s="18" t="s">
        <v>1568</v>
      </c>
      <c r="D233" s="18" t="s">
        <v>1569</v>
      </c>
      <c r="E233" s="19">
        <v>9.611175E9</v>
      </c>
      <c r="F233" s="18"/>
      <c r="G233" s="20" t="s">
        <v>1570</v>
      </c>
      <c r="H233" s="7"/>
      <c r="I233" s="7"/>
      <c r="J233" s="7"/>
      <c r="K233" s="7"/>
      <c r="L233" s="7"/>
      <c r="M233" s="7"/>
      <c r="N233" s="7"/>
      <c r="O233" s="7"/>
      <c r="P233" s="7"/>
      <c r="Q233" s="7"/>
      <c r="R233" s="7"/>
      <c r="S233" s="7"/>
      <c r="T233" s="7"/>
      <c r="U233" s="7"/>
      <c r="V233" s="7"/>
      <c r="W233" s="7"/>
      <c r="X233" s="7"/>
      <c r="Y233" s="7"/>
      <c r="Z233" s="7"/>
      <c r="AA233" s="7"/>
    </row>
    <row r="234">
      <c r="A234" s="18" t="s">
        <v>1571</v>
      </c>
      <c r="B234" s="18"/>
      <c r="C234" s="18" t="s">
        <v>1572</v>
      </c>
      <c r="D234" s="18" t="s">
        <v>20</v>
      </c>
      <c r="E234" s="19">
        <f>919535910106</f>
        <v>919535910106</v>
      </c>
      <c r="F234" s="18"/>
      <c r="G234" s="20" t="s">
        <v>1573</v>
      </c>
      <c r="H234" s="7"/>
      <c r="I234" s="7"/>
      <c r="J234" s="7"/>
      <c r="K234" s="7"/>
      <c r="L234" s="7"/>
      <c r="M234" s="7"/>
      <c r="N234" s="7"/>
      <c r="O234" s="7"/>
      <c r="P234" s="7"/>
      <c r="Q234" s="7"/>
      <c r="R234" s="7"/>
      <c r="S234" s="7"/>
      <c r="T234" s="7"/>
      <c r="U234" s="7"/>
      <c r="V234" s="7"/>
      <c r="W234" s="7"/>
      <c r="X234" s="7"/>
      <c r="Y234" s="7"/>
      <c r="Z234" s="7"/>
      <c r="AA234" s="7"/>
    </row>
    <row r="235">
      <c r="A235" s="10" t="s">
        <v>1574</v>
      </c>
      <c r="B235" s="18"/>
      <c r="C235" s="18" t="s">
        <v>1575</v>
      </c>
      <c r="D235" s="18" t="s">
        <v>1576</v>
      </c>
      <c r="E235" s="19">
        <v>8.884666739E9</v>
      </c>
      <c r="F235" s="18" t="s">
        <v>1577</v>
      </c>
      <c r="G235" s="20" t="s">
        <v>1578</v>
      </c>
      <c r="H235" s="7"/>
      <c r="I235" s="7"/>
      <c r="J235" s="7"/>
      <c r="K235" s="7"/>
      <c r="L235" s="7"/>
      <c r="M235" s="7"/>
      <c r="N235" s="7"/>
      <c r="O235" s="7"/>
      <c r="P235" s="7"/>
      <c r="Q235" s="7"/>
      <c r="R235" s="7"/>
      <c r="S235" s="7"/>
      <c r="T235" s="7"/>
      <c r="U235" s="7"/>
      <c r="V235" s="7"/>
      <c r="W235" s="7"/>
      <c r="X235" s="7"/>
      <c r="Y235" s="7"/>
      <c r="Z235" s="7"/>
      <c r="AA235" s="7"/>
    </row>
    <row r="236">
      <c r="A236" s="18" t="s">
        <v>1579</v>
      </c>
      <c r="B236" s="18"/>
      <c r="C236" s="18" t="s">
        <v>1580</v>
      </c>
      <c r="D236" s="18" t="s">
        <v>1581</v>
      </c>
      <c r="E236" s="19">
        <v>8.14772129E9</v>
      </c>
      <c r="F236" s="18"/>
      <c r="G236" s="20" t="s">
        <v>1582</v>
      </c>
      <c r="H236" s="7" t="s">
        <v>778</v>
      </c>
      <c r="I236" s="7"/>
      <c r="J236" s="7"/>
      <c r="K236" s="7"/>
      <c r="L236" s="7"/>
      <c r="M236" s="7"/>
      <c r="N236" s="7"/>
      <c r="O236" s="7"/>
      <c r="P236" s="7"/>
      <c r="Q236" s="7"/>
      <c r="R236" s="7"/>
      <c r="S236" s="7"/>
      <c r="T236" s="7"/>
      <c r="U236" s="7"/>
      <c r="V236" s="7"/>
      <c r="W236" s="7"/>
      <c r="X236" s="7"/>
      <c r="Y236" s="7"/>
      <c r="Z236" s="7"/>
      <c r="AA236" s="7"/>
    </row>
    <row r="237">
      <c r="A237" s="18" t="s">
        <v>421</v>
      </c>
      <c r="B237" s="18"/>
      <c r="C237" s="18" t="s">
        <v>423</v>
      </c>
      <c r="D237" s="18" t="s">
        <v>252</v>
      </c>
      <c r="E237" s="19">
        <f>919740338872</f>
        <v>919740338872</v>
      </c>
      <c r="F237" s="18"/>
      <c r="G237" s="20" t="s">
        <v>425</v>
      </c>
      <c r="H237" s="7" t="s">
        <v>778</v>
      </c>
      <c r="I237" s="7"/>
      <c r="J237" s="7"/>
      <c r="K237" s="7"/>
      <c r="L237" s="7"/>
      <c r="M237" s="7"/>
      <c r="N237" s="7"/>
      <c r="O237" s="7"/>
      <c r="P237" s="7"/>
      <c r="Q237" s="7"/>
      <c r="R237" s="7"/>
      <c r="S237" s="7"/>
      <c r="T237" s="7"/>
      <c r="U237" s="7"/>
      <c r="V237" s="7"/>
      <c r="W237" s="7"/>
      <c r="X237" s="7"/>
      <c r="Y237" s="7"/>
      <c r="Z237" s="7"/>
      <c r="AA237" s="7"/>
    </row>
    <row r="238">
      <c r="A238" s="10" t="s">
        <v>1583</v>
      </c>
      <c r="B238" s="18"/>
      <c r="C238" s="18" t="s">
        <v>1584</v>
      </c>
      <c r="D238" s="18" t="s">
        <v>1585</v>
      </c>
      <c r="E238" s="19">
        <f>919740777778</f>
        <v>919740777778</v>
      </c>
      <c r="F238" s="18"/>
      <c r="G238" s="20" t="s">
        <v>1586</v>
      </c>
      <c r="H238" s="7" t="s">
        <v>1008</v>
      </c>
      <c r="I238" s="7"/>
      <c r="J238" s="7"/>
      <c r="K238" s="7"/>
      <c r="L238" s="7"/>
      <c r="M238" s="7"/>
      <c r="N238" s="7"/>
      <c r="O238" s="7"/>
      <c r="P238" s="7"/>
      <c r="Q238" s="7"/>
      <c r="R238" s="7"/>
      <c r="S238" s="7"/>
      <c r="T238" s="7"/>
      <c r="U238" s="7"/>
      <c r="V238" s="7"/>
      <c r="W238" s="7"/>
      <c r="X238" s="7"/>
      <c r="Y238" s="7"/>
      <c r="Z238" s="7"/>
      <c r="AA238" s="7"/>
    </row>
    <row r="239">
      <c r="A239" s="18" t="s">
        <v>1587</v>
      </c>
      <c r="B239" s="18"/>
      <c r="C239" s="18" t="s">
        <v>1588</v>
      </c>
      <c r="D239" s="18" t="s">
        <v>1589</v>
      </c>
      <c r="E239" s="19">
        <f>919741537492</f>
        <v>919741537492</v>
      </c>
      <c r="F239" s="18"/>
      <c r="G239" s="20" t="s">
        <v>1590</v>
      </c>
      <c r="H239" s="7" t="s">
        <v>1190</v>
      </c>
      <c r="I239" s="7"/>
      <c r="J239" s="7"/>
      <c r="K239" s="7"/>
      <c r="L239" s="7"/>
      <c r="M239" s="7"/>
      <c r="N239" s="7"/>
      <c r="O239" s="7"/>
      <c r="P239" s="7"/>
      <c r="Q239" s="7"/>
      <c r="R239" s="7"/>
      <c r="S239" s="7"/>
      <c r="T239" s="7"/>
      <c r="U239" s="7"/>
      <c r="V239" s="7"/>
      <c r="W239" s="7"/>
      <c r="X239" s="7"/>
      <c r="Y239" s="7"/>
      <c r="Z239" s="7"/>
      <c r="AA239" s="7"/>
    </row>
    <row r="240">
      <c r="A240" s="10" t="s">
        <v>1591</v>
      </c>
      <c r="B240" s="18"/>
      <c r="C240" s="18" t="s">
        <v>1592</v>
      </c>
      <c r="D240" s="18" t="s">
        <v>1593</v>
      </c>
      <c r="E240" s="18" t="s">
        <v>1594</v>
      </c>
      <c r="F240" s="18"/>
      <c r="G240" s="20" t="s">
        <v>1595</v>
      </c>
      <c r="H240" s="7"/>
      <c r="I240" s="7"/>
      <c r="J240" s="7"/>
      <c r="K240" s="7"/>
      <c r="L240" s="7"/>
      <c r="M240" s="7"/>
      <c r="N240" s="7"/>
      <c r="O240" s="7"/>
      <c r="P240" s="7"/>
      <c r="Q240" s="7"/>
      <c r="R240" s="7"/>
      <c r="S240" s="7"/>
      <c r="T240" s="7"/>
      <c r="U240" s="7"/>
      <c r="V240" s="7"/>
      <c r="W240" s="7"/>
      <c r="X240" s="7"/>
      <c r="Y240" s="7"/>
      <c r="Z240" s="7"/>
      <c r="AA240" s="7"/>
    </row>
    <row r="241">
      <c r="A241" s="18" t="s">
        <v>1596</v>
      </c>
      <c r="B241" s="18"/>
      <c r="C241" s="18" t="s">
        <v>373</v>
      </c>
      <c r="D241" s="18" t="s">
        <v>20</v>
      </c>
      <c r="E241" s="18" t="s">
        <v>1597</v>
      </c>
      <c r="F241" s="18"/>
      <c r="G241" s="20" t="s">
        <v>1598</v>
      </c>
      <c r="H241" s="7" t="s">
        <v>778</v>
      </c>
      <c r="I241" s="7"/>
      <c r="J241" s="7"/>
      <c r="K241" s="7"/>
      <c r="L241" s="7"/>
      <c r="M241" s="7"/>
      <c r="N241" s="7"/>
      <c r="O241" s="7"/>
      <c r="P241" s="7"/>
      <c r="Q241" s="7"/>
      <c r="R241" s="7"/>
      <c r="S241" s="7"/>
      <c r="T241" s="7"/>
      <c r="U241" s="7"/>
      <c r="V241" s="7"/>
      <c r="W241" s="7"/>
      <c r="X241" s="7"/>
      <c r="Y241" s="7"/>
      <c r="Z241" s="7"/>
      <c r="AA241" s="7"/>
    </row>
    <row r="242">
      <c r="A242" s="18" t="s">
        <v>721</v>
      </c>
      <c r="B242" s="18"/>
      <c r="C242" s="18" t="s">
        <v>49</v>
      </c>
      <c r="D242" s="18" t="s">
        <v>1599</v>
      </c>
      <c r="E242" s="19">
        <f>919701203000</f>
        <v>919701203000</v>
      </c>
      <c r="F242" s="18"/>
      <c r="G242" s="20" t="s">
        <v>1600</v>
      </c>
      <c r="H242" s="7" t="s">
        <v>778</v>
      </c>
      <c r="I242" s="7"/>
      <c r="J242" s="7"/>
      <c r="K242" s="7"/>
      <c r="L242" s="7"/>
      <c r="M242" s="7"/>
      <c r="N242" s="7"/>
      <c r="O242" s="7"/>
      <c r="P242" s="7"/>
      <c r="Q242" s="7"/>
      <c r="R242" s="7"/>
      <c r="S242" s="7"/>
      <c r="T242" s="7"/>
      <c r="U242" s="7"/>
      <c r="V242" s="7"/>
      <c r="W242" s="7"/>
      <c r="X242" s="7"/>
      <c r="Y242" s="7"/>
      <c r="Z242" s="7"/>
      <c r="AA242" s="7"/>
    </row>
    <row r="243">
      <c r="A243" s="18" t="s">
        <v>1601</v>
      </c>
      <c r="B243" s="18"/>
      <c r="C243" s="18" t="s">
        <v>1602</v>
      </c>
      <c r="D243" s="18" t="s">
        <v>1603</v>
      </c>
      <c r="E243" s="19">
        <f>918754492470</f>
        <v>918754492470</v>
      </c>
      <c r="F243" s="18"/>
      <c r="G243" s="20" t="s">
        <v>1604</v>
      </c>
      <c r="H243" s="7" t="s">
        <v>1605</v>
      </c>
      <c r="I243" s="7"/>
      <c r="J243" s="7"/>
      <c r="K243" s="7"/>
      <c r="L243" s="7"/>
      <c r="M243" s="7"/>
      <c r="N243" s="7"/>
      <c r="O243" s="7"/>
      <c r="P243" s="7"/>
      <c r="Q243" s="7"/>
      <c r="R243" s="7"/>
      <c r="S243" s="7"/>
      <c r="T243" s="7"/>
      <c r="U243" s="7"/>
      <c r="V243" s="7"/>
      <c r="W243" s="7"/>
      <c r="X243" s="7"/>
      <c r="Y243" s="7"/>
      <c r="Z243" s="7"/>
      <c r="AA243" s="7"/>
    </row>
    <row r="244">
      <c r="A244" s="18" t="s">
        <v>1606</v>
      </c>
      <c r="B244" s="18"/>
      <c r="C244" s="18" t="s">
        <v>1232</v>
      </c>
      <c r="D244" s="18" t="s">
        <v>1607</v>
      </c>
      <c r="E244" s="18"/>
      <c r="F244" s="18"/>
      <c r="G244" s="20" t="s">
        <v>1608</v>
      </c>
      <c r="H244" s="7"/>
      <c r="I244" s="7"/>
      <c r="J244" s="7"/>
      <c r="K244" s="7"/>
      <c r="L244" s="7"/>
      <c r="M244" s="7"/>
      <c r="N244" s="7"/>
      <c r="O244" s="7"/>
      <c r="P244" s="7"/>
      <c r="Q244" s="7"/>
      <c r="R244" s="7"/>
      <c r="S244" s="7"/>
      <c r="T244" s="7"/>
      <c r="U244" s="7"/>
      <c r="V244" s="7"/>
      <c r="W244" s="7"/>
      <c r="X244" s="7"/>
      <c r="Y244" s="7"/>
      <c r="Z244" s="7"/>
      <c r="AA244" s="7"/>
    </row>
    <row r="245">
      <c r="A245" s="10" t="s">
        <v>1610</v>
      </c>
      <c r="B245" s="18"/>
      <c r="C245" s="18" t="s">
        <v>1611</v>
      </c>
      <c r="D245" s="18" t="s">
        <v>1612</v>
      </c>
      <c r="E245" s="19">
        <f>919900755469</f>
        <v>919900755469</v>
      </c>
      <c r="F245" s="18"/>
      <c r="G245" s="20" t="s">
        <v>1613</v>
      </c>
      <c r="H245" s="7" t="s">
        <v>1614</v>
      </c>
      <c r="I245" s="7"/>
      <c r="J245" s="7"/>
      <c r="K245" s="7"/>
      <c r="L245" s="7"/>
      <c r="M245" s="7"/>
      <c r="N245" s="7"/>
      <c r="O245" s="7"/>
      <c r="P245" s="7"/>
      <c r="Q245" s="7"/>
      <c r="R245" s="7"/>
      <c r="S245" s="7"/>
      <c r="T245" s="7"/>
      <c r="U245" s="7"/>
      <c r="V245" s="7"/>
      <c r="W245" s="7"/>
      <c r="X245" s="7"/>
      <c r="Y245" s="7"/>
      <c r="Z245" s="7"/>
      <c r="AA245" s="7"/>
    </row>
    <row r="246">
      <c r="A246" s="18" t="s">
        <v>1615</v>
      </c>
      <c r="B246" s="18"/>
      <c r="C246" s="18" t="s">
        <v>1616</v>
      </c>
      <c r="D246" s="18" t="s">
        <v>1617</v>
      </c>
      <c r="E246" s="19">
        <f>918048501137</f>
        <v>918048501137</v>
      </c>
      <c r="F246" s="18"/>
      <c r="G246" s="20" t="s">
        <v>1618</v>
      </c>
      <c r="H246" s="7" t="s">
        <v>1190</v>
      </c>
      <c r="I246" s="7"/>
      <c r="J246" s="7"/>
      <c r="K246" s="7"/>
      <c r="L246" s="7"/>
      <c r="M246" s="7"/>
      <c r="N246" s="7"/>
      <c r="O246" s="7"/>
      <c r="P246" s="7"/>
      <c r="Q246" s="7"/>
      <c r="R246" s="7"/>
      <c r="S246" s="7"/>
      <c r="T246" s="7"/>
      <c r="U246" s="7"/>
      <c r="V246" s="7"/>
      <c r="W246" s="7"/>
      <c r="X246" s="7"/>
      <c r="Y246" s="7"/>
      <c r="Z246" s="7"/>
      <c r="AA246" s="7"/>
    </row>
    <row r="247">
      <c r="A247" s="10" t="s">
        <v>1620</v>
      </c>
      <c r="B247" s="6"/>
      <c r="C247" s="6" t="s">
        <v>1621</v>
      </c>
      <c r="D247" s="6" t="s">
        <v>1622</v>
      </c>
      <c r="E247" s="79">
        <f>919845944628</f>
        <v>919845944628</v>
      </c>
      <c r="F247" s="18"/>
      <c r="G247" s="20" t="s">
        <v>1626</v>
      </c>
      <c r="H247" s="7"/>
      <c r="I247" s="7"/>
      <c r="J247" s="7"/>
      <c r="K247" s="7"/>
      <c r="L247" s="7"/>
      <c r="M247" s="7"/>
      <c r="N247" s="7"/>
      <c r="O247" s="7"/>
      <c r="P247" s="7"/>
      <c r="Q247" s="7"/>
      <c r="R247" s="7"/>
      <c r="S247" s="7"/>
      <c r="T247" s="7"/>
      <c r="U247" s="7"/>
      <c r="V247" s="7"/>
      <c r="W247" s="7"/>
      <c r="X247" s="7"/>
      <c r="Y247" s="7"/>
      <c r="Z247" s="7"/>
      <c r="AA247" s="7"/>
    </row>
    <row r="248">
      <c r="A248" s="18" t="s">
        <v>1629</v>
      </c>
      <c r="B248" s="18"/>
      <c r="C248" s="18" t="s">
        <v>1630</v>
      </c>
      <c r="D248" s="18" t="s">
        <v>1631</v>
      </c>
      <c r="E248" s="18"/>
      <c r="F248" s="18"/>
      <c r="G248" s="20" t="s">
        <v>1632</v>
      </c>
      <c r="H248" s="7"/>
      <c r="I248" s="7"/>
      <c r="J248" s="7"/>
      <c r="K248" s="7"/>
      <c r="L248" s="7"/>
      <c r="M248" s="7"/>
      <c r="N248" s="7"/>
      <c r="O248" s="7"/>
      <c r="P248" s="7"/>
      <c r="Q248" s="7"/>
      <c r="R248" s="7"/>
      <c r="S248" s="7"/>
      <c r="T248" s="7"/>
      <c r="U248" s="7"/>
      <c r="V248" s="7"/>
      <c r="W248" s="7"/>
      <c r="X248" s="7"/>
      <c r="Y248" s="7"/>
      <c r="Z248" s="7"/>
      <c r="AA248" s="7"/>
    </row>
    <row r="249">
      <c r="A249" s="18" t="s">
        <v>1635</v>
      </c>
      <c r="B249" s="18"/>
      <c r="C249" s="18" t="s">
        <v>1636</v>
      </c>
      <c r="D249" s="18" t="s">
        <v>1637</v>
      </c>
      <c r="E249" s="18" t="s">
        <v>1638</v>
      </c>
      <c r="F249" s="18"/>
      <c r="G249" s="20" t="s">
        <v>1639</v>
      </c>
      <c r="H249" s="7" t="s">
        <v>778</v>
      </c>
      <c r="I249" s="7"/>
      <c r="J249" s="7"/>
      <c r="K249" s="7"/>
      <c r="L249" s="7"/>
      <c r="M249" s="7"/>
      <c r="N249" s="7"/>
      <c r="O249" s="7"/>
      <c r="P249" s="7"/>
      <c r="Q249" s="7"/>
      <c r="R249" s="7"/>
      <c r="S249" s="7"/>
      <c r="T249" s="7"/>
      <c r="U249" s="7"/>
      <c r="V249" s="7"/>
      <c r="W249" s="7"/>
      <c r="X249" s="7"/>
      <c r="Y249" s="7"/>
      <c r="Z249" s="7"/>
      <c r="AA249" s="7"/>
    </row>
    <row r="250">
      <c r="A250" s="18" t="s">
        <v>1642</v>
      </c>
      <c r="B250" s="18"/>
      <c r="C250" s="18" t="s">
        <v>1643</v>
      </c>
      <c r="D250" s="18" t="s">
        <v>1644</v>
      </c>
      <c r="E250" s="19">
        <f>919980943461</f>
        <v>919980943461</v>
      </c>
      <c r="F250" s="17"/>
      <c r="G250" s="20" t="s">
        <v>1645</v>
      </c>
      <c r="H250" s="7" t="s">
        <v>778</v>
      </c>
      <c r="I250" s="7"/>
      <c r="J250" s="7"/>
      <c r="K250" s="7"/>
      <c r="L250" s="7"/>
      <c r="M250" s="7"/>
      <c r="N250" s="7"/>
      <c r="O250" s="7"/>
      <c r="P250" s="7"/>
      <c r="Q250" s="7"/>
      <c r="R250" s="7"/>
      <c r="S250" s="7"/>
      <c r="T250" s="7"/>
      <c r="U250" s="7"/>
      <c r="V250" s="7"/>
      <c r="W250" s="7"/>
      <c r="X250" s="7"/>
      <c r="Y250" s="7"/>
      <c r="Z250" s="7"/>
      <c r="AA250" s="7"/>
    </row>
    <row r="251">
      <c r="A251" s="80" t="s">
        <v>1648</v>
      </c>
      <c r="B251" s="18"/>
      <c r="C251" s="18" t="s">
        <v>1549</v>
      </c>
      <c r="D251" s="18" t="s">
        <v>1650</v>
      </c>
      <c r="E251" s="19">
        <f>919900149117</f>
        <v>919900149117</v>
      </c>
      <c r="F251" s="18" t="s">
        <v>1652</v>
      </c>
      <c r="G251" s="20" t="s">
        <v>1653</v>
      </c>
      <c r="H251" s="7" t="s">
        <v>778</v>
      </c>
      <c r="I251" s="7"/>
      <c r="J251" s="7"/>
      <c r="K251" s="7"/>
      <c r="L251" s="7"/>
      <c r="M251" s="7"/>
      <c r="N251" s="7"/>
      <c r="O251" s="7"/>
      <c r="P251" s="7"/>
      <c r="Q251" s="7"/>
      <c r="R251" s="7"/>
      <c r="S251" s="7"/>
      <c r="T251" s="7"/>
      <c r="U251" s="7"/>
      <c r="V251" s="7"/>
      <c r="W251" s="7"/>
      <c r="X251" s="7"/>
      <c r="Y251" s="7"/>
      <c r="Z251" s="7"/>
      <c r="AA251" s="7"/>
    </row>
    <row r="252">
      <c r="A252" s="18" t="s">
        <v>1656</v>
      </c>
      <c r="B252" s="18"/>
      <c r="C252" s="18" t="s">
        <v>1657</v>
      </c>
      <c r="D252" s="18" t="s">
        <v>1658</v>
      </c>
      <c r="E252" s="19">
        <f>918851773248</f>
        <v>918851773248</v>
      </c>
      <c r="F252" s="18" t="s">
        <v>1659</v>
      </c>
      <c r="G252" s="20" t="s">
        <v>1660</v>
      </c>
      <c r="H252" s="7" t="s">
        <v>778</v>
      </c>
      <c r="I252" s="7"/>
      <c r="J252" s="7"/>
      <c r="K252" s="7"/>
      <c r="L252" s="7"/>
      <c r="M252" s="7"/>
      <c r="N252" s="7"/>
      <c r="O252" s="7"/>
      <c r="P252" s="7"/>
      <c r="Q252" s="7"/>
      <c r="R252" s="7"/>
      <c r="S252" s="7"/>
      <c r="T252" s="7"/>
      <c r="U252" s="7"/>
      <c r="V252" s="7"/>
      <c r="W252" s="7"/>
      <c r="X252" s="7"/>
      <c r="Y252" s="7"/>
      <c r="Z252" s="7"/>
      <c r="AA252" s="7"/>
    </row>
    <row r="253">
      <c r="A253" s="41" t="s">
        <v>1661</v>
      </c>
      <c r="B253" s="18"/>
      <c r="C253" s="18" t="s">
        <v>1662</v>
      </c>
      <c r="D253" s="18" t="s">
        <v>1663</v>
      </c>
      <c r="E253" s="19">
        <v>9.19886196305E11</v>
      </c>
      <c r="F253" s="18" t="s">
        <v>1664</v>
      </c>
      <c r="G253" s="20" t="s">
        <v>1665</v>
      </c>
      <c r="H253" s="7"/>
      <c r="I253" s="7"/>
      <c r="J253" s="7"/>
      <c r="K253" s="7"/>
      <c r="L253" s="7"/>
      <c r="M253" s="7"/>
      <c r="N253" s="7"/>
      <c r="O253" s="7"/>
      <c r="P253" s="7"/>
      <c r="Q253" s="7"/>
      <c r="R253" s="7"/>
      <c r="S253" s="7"/>
      <c r="T253" s="7"/>
      <c r="U253" s="7"/>
      <c r="V253" s="7"/>
      <c r="W253" s="7"/>
      <c r="X253" s="7"/>
      <c r="Y253" s="7"/>
      <c r="Z253" s="7"/>
      <c r="AA253" s="7"/>
    </row>
    <row r="254">
      <c r="A254" s="18" t="s">
        <v>1669</v>
      </c>
      <c r="B254" s="18"/>
      <c r="C254" s="18" t="s">
        <v>423</v>
      </c>
      <c r="D254" s="18" t="s">
        <v>1670</v>
      </c>
      <c r="E254" s="19">
        <v>9.17760966713E11</v>
      </c>
      <c r="F254" s="18" t="s">
        <v>1671</v>
      </c>
      <c r="G254" s="20" t="s">
        <v>1672</v>
      </c>
      <c r="H254" s="7"/>
      <c r="I254" s="7"/>
      <c r="J254" s="7"/>
      <c r="K254" s="7"/>
      <c r="L254" s="7"/>
      <c r="M254" s="7"/>
      <c r="N254" s="7"/>
      <c r="O254" s="7"/>
      <c r="P254" s="7"/>
      <c r="Q254" s="7"/>
      <c r="R254" s="7"/>
      <c r="S254" s="7"/>
      <c r="T254" s="7"/>
      <c r="U254" s="7"/>
      <c r="V254" s="7"/>
      <c r="W254" s="7"/>
      <c r="X254" s="7"/>
      <c r="Y254" s="7"/>
      <c r="Z254" s="7"/>
      <c r="AA254" s="7"/>
    </row>
    <row r="255">
      <c r="A255" s="41" t="s">
        <v>1675</v>
      </c>
      <c r="B255" s="18"/>
      <c r="C255" s="18" t="s">
        <v>1676</v>
      </c>
      <c r="D255" s="18" t="s">
        <v>1677</v>
      </c>
      <c r="E255" s="19">
        <v>9.19845900804E11</v>
      </c>
      <c r="F255" s="18"/>
      <c r="G255" s="20" t="s">
        <v>637</v>
      </c>
      <c r="H255" s="7" t="s">
        <v>1678</v>
      </c>
      <c r="I255" s="7"/>
      <c r="J255" s="7"/>
      <c r="K255" s="7"/>
      <c r="L255" s="7"/>
      <c r="M255" s="7"/>
      <c r="N255" s="7"/>
      <c r="O255" s="7"/>
      <c r="P255" s="7"/>
      <c r="Q255" s="7"/>
      <c r="R255" s="7"/>
      <c r="S255" s="7"/>
      <c r="T255" s="7"/>
      <c r="U255" s="7"/>
      <c r="V255" s="7"/>
      <c r="W255" s="7"/>
      <c r="X255" s="7"/>
      <c r="Y255" s="7"/>
      <c r="Z255" s="7"/>
      <c r="AA255" s="7"/>
    </row>
    <row r="256">
      <c r="A256" s="18" t="s">
        <v>1679</v>
      </c>
      <c r="B256" s="18"/>
      <c r="C256" s="18" t="s">
        <v>1680</v>
      </c>
      <c r="D256" s="18" t="s">
        <v>1300</v>
      </c>
      <c r="E256" s="19">
        <v>9.19986495455E11</v>
      </c>
      <c r="F256" s="18" t="s">
        <v>1681</v>
      </c>
      <c r="G256" s="20" t="s">
        <v>1683</v>
      </c>
      <c r="H256" s="7" t="s">
        <v>1685</v>
      </c>
      <c r="I256" s="7"/>
      <c r="J256" s="7"/>
      <c r="K256" s="7"/>
      <c r="L256" s="7"/>
      <c r="M256" s="7"/>
      <c r="N256" s="7"/>
      <c r="O256" s="7"/>
      <c r="P256" s="7"/>
      <c r="Q256" s="7"/>
      <c r="R256" s="7"/>
      <c r="S256" s="7"/>
      <c r="T256" s="7"/>
      <c r="U256" s="7"/>
      <c r="V256" s="7"/>
      <c r="W256" s="7"/>
      <c r="X256" s="7"/>
      <c r="Y256" s="7"/>
      <c r="Z256" s="7"/>
      <c r="AA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3"/>
    <hyperlink r:id="rId32" ref="G34"/>
    <hyperlink r:id="rId33" ref="G35"/>
    <hyperlink r:id="rId34" ref="G36"/>
    <hyperlink r:id="rId35" ref="G37"/>
    <hyperlink r:id="rId36" ref="G38"/>
    <hyperlink r:id="rId37" ref="G39"/>
    <hyperlink r:id="rId38" ref="G40"/>
    <hyperlink r:id="rId39" ref="G41"/>
    <hyperlink r:id="rId40" ref="G42"/>
    <hyperlink r:id="rId41" ref="G43"/>
    <hyperlink r:id="rId42" ref="G44"/>
    <hyperlink r:id="rId43" ref="G45"/>
    <hyperlink r:id="rId44" ref="G46"/>
    <hyperlink r:id="rId45" ref="G47"/>
    <hyperlink r:id="rId46" ref="G48"/>
    <hyperlink r:id="rId47" ref="G49"/>
    <hyperlink r:id="rId48" ref="G50"/>
    <hyperlink r:id="rId49" ref="G51"/>
    <hyperlink r:id="rId50" ref="G52"/>
    <hyperlink r:id="rId51" ref="G53"/>
    <hyperlink r:id="rId52" ref="G54"/>
    <hyperlink r:id="rId53" ref="G55"/>
    <hyperlink r:id="rId54" ref="G56"/>
    <hyperlink r:id="rId55" ref="G57"/>
    <hyperlink r:id="rId56" ref="G58"/>
    <hyperlink r:id="rId57" ref="G59"/>
    <hyperlink r:id="rId58" ref="G60"/>
    <hyperlink r:id="rId59" ref="G61"/>
    <hyperlink r:id="rId60" ref="G62"/>
    <hyperlink r:id="rId61" ref="G64"/>
    <hyperlink r:id="rId62" ref="G65"/>
    <hyperlink r:id="rId63" ref="G66"/>
    <hyperlink r:id="rId64" ref="G67"/>
    <hyperlink r:id="rId65" ref="G68"/>
    <hyperlink r:id="rId66" ref="G69"/>
    <hyperlink r:id="rId67" ref="G70"/>
    <hyperlink r:id="rId68" ref="G71"/>
    <hyperlink r:id="rId69" ref="G72"/>
    <hyperlink r:id="rId70" ref="G73"/>
    <hyperlink r:id="rId71" ref="G74"/>
    <hyperlink r:id="rId72" ref="G75"/>
    <hyperlink r:id="rId73" ref="G76"/>
    <hyperlink r:id="rId74" ref="G77"/>
    <hyperlink r:id="rId75" ref="G78"/>
    <hyperlink r:id="rId76" ref="G79"/>
    <hyperlink r:id="rId77" ref="G80"/>
    <hyperlink r:id="rId78" ref="G81"/>
    <hyperlink r:id="rId79" ref="G82"/>
    <hyperlink r:id="rId80" ref="C83"/>
    <hyperlink r:id="rId81" ref="G83"/>
    <hyperlink r:id="rId82" ref="G84"/>
    <hyperlink r:id="rId83" ref="G85"/>
    <hyperlink r:id="rId84" ref="G86"/>
    <hyperlink r:id="rId85" ref="G87"/>
    <hyperlink r:id="rId86" ref="G88"/>
    <hyperlink r:id="rId87" ref="G89"/>
    <hyperlink r:id="rId88" ref="G90"/>
    <hyperlink r:id="rId89" ref="G91"/>
    <hyperlink r:id="rId90" ref="G92"/>
    <hyperlink r:id="rId91" ref="G93"/>
    <hyperlink r:id="rId92" ref="G94"/>
    <hyperlink r:id="rId93" ref="G95"/>
    <hyperlink r:id="rId94" ref="G96"/>
    <hyperlink r:id="rId95" ref="G97"/>
    <hyperlink r:id="rId96" ref="G98"/>
    <hyperlink r:id="rId97" ref="G99"/>
    <hyperlink r:id="rId98" ref="G100"/>
    <hyperlink r:id="rId99" ref="G101"/>
    <hyperlink r:id="rId100" ref="G102"/>
    <hyperlink r:id="rId101" ref="G103"/>
    <hyperlink r:id="rId102" ref="G104"/>
    <hyperlink r:id="rId103" ref="G105"/>
    <hyperlink r:id="rId104" ref="G106"/>
    <hyperlink r:id="rId105" ref="G107"/>
    <hyperlink r:id="rId106" ref="G108"/>
    <hyperlink r:id="rId107" ref="G109"/>
    <hyperlink r:id="rId108" ref="G110"/>
    <hyperlink r:id="rId109" ref="G111"/>
    <hyperlink r:id="rId110" ref="G112"/>
    <hyperlink r:id="rId111" ref="G113"/>
    <hyperlink r:id="rId112" ref="G114"/>
    <hyperlink r:id="rId113" ref="G115"/>
    <hyperlink r:id="rId114" ref="G116"/>
    <hyperlink r:id="rId115" ref="C117"/>
    <hyperlink r:id="rId116" ref="G117"/>
    <hyperlink r:id="rId117" ref="G118"/>
    <hyperlink r:id="rId118" ref="G119"/>
    <hyperlink r:id="rId119" ref="G121"/>
    <hyperlink r:id="rId120" ref="G122"/>
    <hyperlink r:id="rId121" ref="G123"/>
    <hyperlink r:id="rId122" ref="G124"/>
    <hyperlink r:id="rId123" ref="G125"/>
    <hyperlink r:id="rId124" ref="G126"/>
    <hyperlink r:id="rId125" ref="G127"/>
    <hyperlink r:id="rId126" ref="G128"/>
    <hyperlink r:id="rId127" ref="G129"/>
    <hyperlink r:id="rId128" ref="G130"/>
    <hyperlink r:id="rId129" ref="G131"/>
    <hyperlink r:id="rId130" ref="G132"/>
    <hyperlink r:id="rId131" ref="G133"/>
    <hyperlink r:id="rId132" ref="G134"/>
    <hyperlink r:id="rId133" ref="G135"/>
    <hyperlink r:id="rId134" ref="G136"/>
    <hyperlink r:id="rId135" ref="G137"/>
    <hyperlink r:id="rId136" ref="G138"/>
    <hyperlink r:id="rId137" ref="G139"/>
    <hyperlink r:id="rId138" ref="G140"/>
    <hyperlink r:id="rId139" ref="G141"/>
    <hyperlink r:id="rId140" ref="G142"/>
    <hyperlink r:id="rId141" ref="G143"/>
    <hyperlink r:id="rId142" ref="G144"/>
    <hyperlink r:id="rId143" ref="G145"/>
    <hyperlink r:id="rId144" ref="G146"/>
    <hyperlink r:id="rId145" ref="G147"/>
    <hyperlink r:id="rId146" ref="G148"/>
    <hyperlink r:id="rId147" ref="G149"/>
    <hyperlink r:id="rId148" ref="G150"/>
    <hyperlink r:id="rId149" ref="G151"/>
    <hyperlink r:id="rId150" ref="G152"/>
    <hyperlink r:id="rId151" ref="G153"/>
    <hyperlink r:id="rId152" ref="G154"/>
    <hyperlink r:id="rId153" ref="G155"/>
    <hyperlink r:id="rId154" ref="G156"/>
    <hyperlink r:id="rId155" ref="G157"/>
    <hyperlink r:id="rId156" ref="G158"/>
    <hyperlink r:id="rId157" ref="G159"/>
    <hyperlink r:id="rId158" ref="G160"/>
    <hyperlink r:id="rId159" ref="G161"/>
    <hyperlink r:id="rId160" ref="G162"/>
    <hyperlink r:id="rId161" ref="G163"/>
    <hyperlink r:id="rId162" ref="G165"/>
    <hyperlink r:id="rId163" ref="G166"/>
    <hyperlink r:id="rId164" ref="G167"/>
    <hyperlink r:id="rId165" ref="G169"/>
    <hyperlink r:id="rId166" ref="G170"/>
    <hyperlink r:id="rId167" ref="G171"/>
    <hyperlink r:id="rId168" ref="G172"/>
    <hyperlink r:id="rId169" ref="G173"/>
    <hyperlink r:id="rId170" ref="G174"/>
    <hyperlink r:id="rId171" ref="G175"/>
    <hyperlink r:id="rId172" ref="G176"/>
    <hyperlink r:id="rId173" ref="G177"/>
    <hyperlink r:id="rId174" ref="G178"/>
    <hyperlink r:id="rId175" ref="G179"/>
    <hyperlink r:id="rId176" ref="G180"/>
    <hyperlink r:id="rId177" ref="G181"/>
    <hyperlink r:id="rId178" ref="G182"/>
    <hyperlink r:id="rId179" ref="G185"/>
    <hyperlink r:id="rId180" ref="G186"/>
    <hyperlink r:id="rId181" ref="G187"/>
    <hyperlink r:id="rId182" ref="G188"/>
    <hyperlink r:id="rId183" ref="G189"/>
    <hyperlink r:id="rId184" ref="G190"/>
    <hyperlink r:id="rId185" ref="G191"/>
    <hyperlink r:id="rId186" ref="G192"/>
    <hyperlink r:id="rId187" ref="G193"/>
    <hyperlink r:id="rId188" ref="G194"/>
    <hyperlink r:id="rId189" ref="G195"/>
    <hyperlink r:id="rId190" ref="G196"/>
    <hyperlink r:id="rId191" ref="G197"/>
    <hyperlink r:id="rId192" ref="G198"/>
    <hyperlink r:id="rId193" ref="G199"/>
    <hyperlink r:id="rId194" ref="G200"/>
    <hyperlink r:id="rId195" ref="G201"/>
    <hyperlink r:id="rId196" ref="G202"/>
    <hyperlink r:id="rId197" ref="G203"/>
    <hyperlink r:id="rId198" ref="G204"/>
    <hyperlink r:id="rId199" ref="G205"/>
    <hyperlink r:id="rId200" ref="G206"/>
    <hyperlink r:id="rId201" ref="G207"/>
    <hyperlink r:id="rId202" ref="G208"/>
    <hyperlink r:id="rId203" ref="G209"/>
    <hyperlink r:id="rId204" ref="G210"/>
    <hyperlink r:id="rId205" ref="G211"/>
    <hyperlink r:id="rId206" ref="G212"/>
    <hyperlink r:id="rId207" ref="G213"/>
    <hyperlink r:id="rId208" ref="G214"/>
    <hyperlink r:id="rId209" ref="G215"/>
    <hyperlink r:id="rId210" ref="G216"/>
    <hyperlink r:id="rId211" ref="G217"/>
    <hyperlink r:id="rId212" ref="G218"/>
    <hyperlink r:id="rId213" ref="G219"/>
    <hyperlink r:id="rId214" ref="G220"/>
    <hyperlink r:id="rId215" ref="G221"/>
    <hyperlink r:id="rId216" ref="G222"/>
    <hyperlink r:id="rId217" ref="G223"/>
    <hyperlink r:id="rId218" ref="G224"/>
    <hyperlink r:id="rId219" ref="G225"/>
    <hyperlink r:id="rId220" ref="G226"/>
    <hyperlink r:id="rId221" ref="G227"/>
    <hyperlink r:id="rId222" ref="G228"/>
    <hyperlink r:id="rId223" ref="G229"/>
    <hyperlink r:id="rId224" ref="G230"/>
    <hyperlink r:id="rId225" ref="G231"/>
    <hyperlink r:id="rId226" ref="G232"/>
    <hyperlink r:id="rId227" ref="G233"/>
    <hyperlink r:id="rId228" ref="G234"/>
    <hyperlink r:id="rId229" ref="G235"/>
    <hyperlink r:id="rId230" ref="G236"/>
    <hyperlink r:id="rId231" ref="G237"/>
    <hyperlink r:id="rId232" ref="G238"/>
    <hyperlink r:id="rId233" ref="G239"/>
    <hyperlink r:id="rId234" ref="G240"/>
    <hyperlink r:id="rId235" ref="G241"/>
    <hyperlink r:id="rId236" ref="G242"/>
    <hyperlink r:id="rId237" ref="G243"/>
    <hyperlink r:id="rId238" ref="G244"/>
    <hyperlink r:id="rId239" ref="G245"/>
    <hyperlink r:id="rId240" ref="G246"/>
    <hyperlink r:id="rId241" ref="G247"/>
    <hyperlink r:id="rId242" ref="G248"/>
    <hyperlink r:id="rId243" ref="G249"/>
    <hyperlink r:id="rId244" ref="G250"/>
    <hyperlink r:id="rId245" ref="G251"/>
    <hyperlink r:id="rId246" ref="G252"/>
    <hyperlink r:id="rId247" ref="G253"/>
    <hyperlink r:id="rId248" ref="G254"/>
    <hyperlink r:id="rId249" ref="G255"/>
    <hyperlink r:id="rId250" ref="G256"/>
  </hyperlinks>
  <drawing r:id="rId25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3" t="s">
        <v>3</v>
      </c>
      <c r="E1" s="5" t="s">
        <v>4</v>
      </c>
      <c r="F1" s="5" t="s">
        <v>5</v>
      </c>
      <c r="G1" s="5" t="s">
        <v>6</v>
      </c>
      <c r="H1" s="7"/>
      <c r="I1" s="7"/>
      <c r="J1" s="7"/>
      <c r="K1" s="7"/>
      <c r="L1" s="7"/>
      <c r="M1" s="7"/>
      <c r="N1" s="7"/>
      <c r="O1" s="7"/>
      <c r="P1" s="7"/>
      <c r="Q1" s="7"/>
      <c r="R1" s="7"/>
      <c r="S1" s="7"/>
      <c r="T1" s="7"/>
      <c r="U1" s="7"/>
      <c r="V1" s="7"/>
      <c r="W1" s="7"/>
      <c r="X1" s="7"/>
      <c r="Y1" s="7"/>
      <c r="Z1" s="7"/>
    </row>
    <row r="2">
      <c r="A2" s="9" t="s">
        <v>7</v>
      </c>
      <c r="B2" s="9" t="s">
        <v>9</v>
      </c>
      <c r="C2" s="9" t="s">
        <v>10</v>
      </c>
      <c r="D2" s="12">
        <f>917022598841</f>
        <v>917022598841</v>
      </c>
      <c r="E2" s="13" t="s">
        <v>15</v>
      </c>
      <c r="F2" s="16" t="s">
        <v>16</v>
      </c>
      <c r="G2" s="7"/>
      <c r="H2" s="7"/>
      <c r="I2" s="7"/>
      <c r="J2" s="7"/>
      <c r="K2" s="7"/>
      <c r="L2" s="7"/>
      <c r="M2" s="7"/>
      <c r="N2" s="7"/>
      <c r="O2" s="7"/>
      <c r="P2" s="7"/>
      <c r="Q2" s="7"/>
      <c r="R2" s="7"/>
      <c r="S2" s="7"/>
      <c r="T2" s="7"/>
      <c r="U2" s="7"/>
      <c r="V2" s="7"/>
      <c r="W2" s="7"/>
      <c r="X2" s="7"/>
      <c r="Y2" s="7"/>
      <c r="Z2" s="7"/>
    </row>
    <row r="3">
      <c r="A3" s="9" t="s">
        <v>23</v>
      </c>
      <c r="B3" s="9" t="s">
        <v>24</v>
      </c>
      <c r="C3" s="9" t="s">
        <v>10</v>
      </c>
      <c r="D3" s="12">
        <f>919886401241</f>
        <v>919886401241</v>
      </c>
      <c r="E3" s="7"/>
      <c r="F3" s="16" t="s">
        <v>29</v>
      </c>
      <c r="G3" s="7"/>
      <c r="H3" s="7"/>
      <c r="I3" s="7"/>
      <c r="J3" s="7"/>
      <c r="K3" s="7"/>
      <c r="L3" s="7"/>
      <c r="M3" s="7"/>
      <c r="N3" s="7"/>
      <c r="O3" s="7"/>
      <c r="P3" s="7"/>
      <c r="Q3" s="7"/>
      <c r="R3" s="7"/>
      <c r="S3" s="7"/>
      <c r="T3" s="7"/>
      <c r="U3" s="7"/>
      <c r="V3" s="7"/>
      <c r="W3" s="7"/>
      <c r="X3" s="7"/>
      <c r="Y3" s="7"/>
      <c r="Z3" s="7"/>
    </row>
    <row r="4">
      <c r="A4" s="9" t="s">
        <v>37</v>
      </c>
      <c r="B4" s="9" t="s">
        <v>38</v>
      </c>
      <c r="C4" s="9" t="s">
        <v>10</v>
      </c>
      <c r="D4" s="12">
        <f>917760029900</f>
        <v>917760029900</v>
      </c>
      <c r="E4" s="7"/>
      <c r="F4" s="16" t="s">
        <v>39</v>
      </c>
      <c r="G4" s="7"/>
      <c r="H4" s="7"/>
      <c r="I4" s="7"/>
      <c r="J4" s="7"/>
      <c r="K4" s="7"/>
      <c r="L4" s="7"/>
      <c r="M4" s="7"/>
      <c r="N4" s="7"/>
      <c r="O4" s="7"/>
      <c r="P4" s="7"/>
      <c r="Q4" s="7"/>
      <c r="R4" s="7"/>
      <c r="S4" s="7"/>
      <c r="T4" s="7"/>
      <c r="U4" s="7"/>
      <c r="V4" s="7"/>
      <c r="W4" s="7"/>
      <c r="X4" s="7"/>
      <c r="Y4" s="7"/>
      <c r="Z4" s="7"/>
    </row>
    <row r="5">
      <c r="A5" s="9" t="s">
        <v>48</v>
      </c>
      <c r="B5" s="9" t="s">
        <v>50</v>
      </c>
      <c r="C5" s="9" t="s">
        <v>51</v>
      </c>
      <c r="D5" s="12">
        <f>919886892455</f>
        <v>919886892455</v>
      </c>
      <c r="E5" s="7"/>
      <c r="F5" s="16" t="s">
        <v>54</v>
      </c>
      <c r="G5" s="7"/>
      <c r="H5" s="7"/>
      <c r="I5" s="7"/>
      <c r="J5" s="7"/>
      <c r="K5" s="7"/>
      <c r="L5" s="7"/>
      <c r="M5" s="7"/>
      <c r="N5" s="7"/>
      <c r="O5" s="7"/>
      <c r="P5" s="7"/>
      <c r="Q5" s="7"/>
      <c r="R5" s="7"/>
      <c r="S5" s="7"/>
      <c r="T5" s="7"/>
      <c r="U5" s="7"/>
      <c r="V5" s="7"/>
      <c r="W5" s="7"/>
      <c r="X5" s="7"/>
      <c r="Y5" s="7"/>
      <c r="Z5" s="7"/>
    </row>
    <row r="6">
      <c r="A6" s="22" t="s">
        <v>62</v>
      </c>
      <c r="B6" s="22" t="s">
        <v>68</v>
      </c>
      <c r="C6" s="22" t="s">
        <v>10</v>
      </c>
      <c r="D6" s="23">
        <f>919022515652</f>
        <v>919022515652</v>
      </c>
      <c r="E6" s="22" t="s">
        <v>75</v>
      </c>
      <c r="F6" s="24" t="s">
        <v>76</v>
      </c>
      <c r="G6" s="22" t="s">
        <v>84</v>
      </c>
      <c r="H6" s="15"/>
      <c r="I6" s="15"/>
      <c r="J6" s="15"/>
      <c r="K6" s="15"/>
      <c r="L6" s="15"/>
      <c r="M6" s="15"/>
      <c r="N6" s="15"/>
      <c r="O6" s="15"/>
      <c r="P6" s="15"/>
      <c r="Q6" s="15"/>
      <c r="R6" s="15"/>
      <c r="S6" s="15"/>
      <c r="T6" s="15"/>
      <c r="U6" s="15"/>
      <c r="V6" s="15"/>
      <c r="W6" s="15"/>
      <c r="X6" s="15"/>
      <c r="Y6" s="15"/>
      <c r="Z6" s="15"/>
    </row>
    <row r="7">
      <c r="A7" s="9" t="s">
        <v>90</v>
      </c>
      <c r="B7" s="13" t="s">
        <v>91</v>
      </c>
      <c r="C7" s="13" t="s">
        <v>92</v>
      </c>
      <c r="D7" s="7"/>
      <c r="E7" s="7"/>
      <c r="F7" s="16" t="s">
        <v>93</v>
      </c>
      <c r="G7" s="7"/>
      <c r="H7" s="7"/>
      <c r="I7" s="7"/>
      <c r="J7" s="7"/>
      <c r="K7" s="7"/>
      <c r="L7" s="7"/>
      <c r="M7" s="7"/>
      <c r="N7" s="7"/>
      <c r="O7" s="7"/>
      <c r="P7" s="7"/>
      <c r="Q7" s="7"/>
      <c r="R7" s="7"/>
      <c r="S7" s="7"/>
      <c r="T7" s="7"/>
      <c r="U7" s="7"/>
      <c r="V7" s="7"/>
      <c r="W7" s="7"/>
      <c r="X7" s="7"/>
      <c r="Y7" s="7"/>
      <c r="Z7" s="7"/>
    </row>
    <row r="8">
      <c r="A8" s="9" t="s">
        <v>104</v>
      </c>
      <c r="B8" s="13" t="s">
        <v>105</v>
      </c>
      <c r="C8" s="13" t="s">
        <v>92</v>
      </c>
      <c r="D8" s="12">
        <f>919986782899</f>
        <v>919986782899</v>
      </c>
      <c r="E8" s="7"/>
      <c r="F8" s="16" t="s">
        <v>106</v>
      </c>
      <c r="G8" s="7"/>
      <c r="H8" s="7"/>
      <c r="I8" s="7"/>
      <c r="J8" s="7"/>
      <c r="K8" s="7"/>
      <c r="L8" s="7"/>
      <c r="M8" s="7"/>
      <c r="N8" s="7"/>
      <c r="O8" s="7"/>
      <c r="P8" s="7"/>
      <c r="Q8" s="7"/>
      <c r="R8" s="7"/>
      <c r="S8" s="7"/>
      <c r="T8" s="7"/>
      <c r="U8" s="7"/>
      <c r="V8" s="7"/>
      <c r="W8" s="7"/>
      <c r="X8" s="7"/>
      <c r="Y8" s="7"/>
      <c r="Z8" s="7"/>
    </row>
    <row r="9">
      <c r="A9" s="9" t="s">
        <v>111</v>
      </c>
      <c r="B9" s="13" t="s">
        <v>113</v>
      </c>
      <c r="C9" s="13" t="s">
        <v>115</v>
      </c>
      <c r="D9" s="12">
        <f>919880206502</f>
        <v>919880206502</v>
      </c>
      <c r="E9" s="7"/>
      <c r="F9" s="16" t="s">
        <v>117</v>
      </c>
      <c r="G9" s="13" t="s">
        <v>123</v>
      </c>
      <c r="H9" s="7"/>
      <c r="I9" s="7"/>
      <c r="J9" s="7"/>
      <c r="K9" s="7"/>
      <c r="L9" s="7"/>
      <c r="M9" s="7"/>
      <c r="N9" s="7"/>
      <c r="O9" s="7"/>
      <c r="P9" s="7"/>
      <c r="Q9" s="7"/>
      <c r="R9" s="7"/>
      <c r="S9" s="7"/>
      <c r="T9" s="7"/>
      <c r="U9" s="7"/>
      <c r="V9" s="7"/>
      <c r="W9" s="7"/>
      <c r="X9" s="7"/>
      <c r="Y9" s="7"/>
      <c r="Z9" s="7"/>
    </row>
    <row r="10">
      <c r="A10" s="17" t="s">
        <v>124</v>
      </c>
      <c r="B10" s="13" t="s">
        <v>125</v>
      </c>
      <c r="C10" s="13" t="s">
        <v>126</v>
      </c>
      <c r="D10" s="12">
        <f>919845003981</f>
        <v>919845003981</v>
      </c>
      <c r="E10" s="13" t="s">
        <v>129</v>
      </c>
      <c r="F10" s="16" t="s">
        <v>131</v>
      </c>
      <c r="G10" s="13" t="s">
        <v>123</v>
      </c>
      <c r="H10" s="7"/>
      <c r="I10" s="7"/>
      <c r="J10" s="7"/>
      <c r="K10" s="7"/>
      <c r="L10" s="7"/>
      <c r="M10" s="7"/>
      <c r="N10" s="7"/>
      <c r="O10" s="7"/>
      <c r="P10" s="7"/>
      <c r="Q10" s="7"/>
      <c r="R10" s="7"/>
      <c r="S10" s="7"/>
      <c r="T10" s="7"/>
      <c r="U10" s="7"/>
      <c r="V10" s="7"/>
      <c r="W10" s="7"/>
      <c r="X10" s="7"/>
      <c r="Y10" s="7"/>
      <c r="Z10" s="7"/>
    </row>
    <row r="11">
      <c r="A11" s="9" t="s">
        <v>133</v>
      </c>
      <c r="B11" s="13" t="s">
        <v>134</v>
      </c>
      <c r="C11" s="13" t="s">
        <v>92</v>
      </c>
      <c r="D11" s="12">
        <f>919810283819</f>
        <v>919810283819</v>
      </c>
      <c r="E11" s="7"/>
      <c r="F11" s="16" t="s">
        <v>139</v>
      </c>
      <c r="G11" s="7"/>
      <c r="H11" s="7"/>
      <c r="I11" s="7"/>
      <c r="J11" s="7"/>
      <c r="K11" s="7"/>
      <c r="L11" s="7"/>
      <c r="M11" s="7"/>
      <c r="N11" s="7"/>
      <c r="O11" s="7"/>
      <c r="P11" s="7"/>
      <c r="Q11" s="7"/>
      <c r="R11" s="7"/>
      <c r="S11" s="7"/>
      <c r="T11" s="7"/>
      <c r="U11" s="7"/>
      <c r="V11" s="7"/>
      <c r="W11" s="7"/>
      <c r="X11" s="7"/>
      <c r="Y11" s="7"/>
      <c r="Z11" s="7"/>
    </row>
    <row r="12">
      <c r="A12" s="9" t="s">
        <v>143</v>
      </c>
      <c r="B12" s="13" t="s">
        <v>144</v>
      </c>
      <c r="C12" s="13" t="s">
        <v>145</v>
      </c>
      <c r="D12" s="12">
        <f>916581390024</f>
        <v>916581390024</v>
      </c>
      <c r="E12" s="7"/>
      <c r="F12" s="16" t="s">
        <v>146</v>
      </c>
      <c r="G12" s="13" t="s">
        <v>147</v>
      </c>
      <c r="H12" s="7"/>
      <c r="I12" s="7"/>
      <c r="J12" s="7"/>
      <c r="K12" s="7"/>
      <c r="L12" s="7"/>
      <c r="M12" s="7"/>
      <c r="N12" s="7"/>
      <c r="O12" s="7"/>
      <c r="P12" s="7"/>
      <c r="Q12" s="7"/>
      <c r="R12" s="7"/>
      <c r="S12" s="7"/>
      <c r="T12" s="7"/>
      <c r="U12" s="7"/>
      <c r="V12" s="7"/>
      <c r="W12" s="7"/>
      <c r="X12" s="7"/>
      <c r="Y12" s="7"/>
      <c r="Z12" s="7"/>
    </row>
    <row r="13">
      <c r="A13" s="22" t="s">
        <v>152</v>
      </c>
      <c r="B13" s="22" t="s">
        <v>153</v>
      </c>
      <c r="C13" s="22" t="s">
        <v>154</v>
      </c>
      <c r="D13" s="23">
        <f>919764995635</f>
        <v>919764995635</v>
      </c>
      <c r="E13" s="15"/>
      <c r="F13" s="24" t="s">
        <v>155</v>
      </c>
      <c r="G13" s="22" t="s">
        <v>161</v>
      </c>
      <c r="H13" s="15"/>
      <c r="I13" s="15"/>
      <c r="J13" s="15"/>
      <c r="K13" s="15"/>
      <c r="L13" s="15"/>
      <c r="M13" s="15"/>
      <c r="N13" s="15"/>
      <c r="O13" s="15"/>
      <c r="P13" s="15"/>
      <c r="Q13" s="15"/>
      <c r="R13" s="15"/>
      <c r="S13" s="15"/>
      <c r="T13" s="15"/>
      <c r="U13" s="15"/>
      <c r="V13" s="15"/>
      <c r="W13" s="15"/>
      <c r="X13" s="15"/>
      <c r="Y13" s="15"/>
      <c r="Z13" s="15"/>
    </row>
    <row r="14">
      <c r="A14" s="9" t="s">
        <v>162</v>
      </c>
      <c r="B14" s="13" t="s">
        <v>163</v>
      </c>
      <c r="C14" s="13" t="s">
        <v>164</v>
      </c>
      <c r="D14" s="7"/>
      <c r="E14" s="7"/>
      <c r="F14" s="16" t="s">
        <v>165</v>
      </c>
      <c r="G14" s="7"/>
      <c r="H14" s="7"/>
      <c r="I14" s="7"/>
      <c r="J14" s="7"/>
      <c r="K14" s="7"/>
      <c r="L14" s="7"/>
      <c r="M14" s="7"/>
      <c r="N14" s="7"/>
      <c r="O14" s="7"/>
      <c r="P14" s="7"/>
      <c r="Q14" s="7"/>
      <c r="R14" s="7"/>
      <c r="S14" s="7"/>
      <c r="T14" s="7"/>
      <c r="U14" s="7"/>
      <c r="V14" s="7"/>
      <c r="W14" s="7"/>
      <c r="X14" s="7"/>
      <c r="Y14" s="7"/>
      <c r="Z14" s="7"/>
    </row>
    <row r="15">
      <c r="A15" s="26" t="s">
        <v>171</v>
      </c>
      <c r="B15" s="13" t="s">
        <v>177</v>
      </c>
      <c r="C15" s="9" t="s">
        <v>178</v>
      </c>
      <c r="D15" s="13" t="s">
        <v>179</v>
      </c>
      <c r="E15" s="7"/>
      <c r="F15" s="16" t="s">
        <v>180</v>
      </c>
      <c r="G15" s="7"/>
      <c r="H15" s="7"/>
      <c r="I15" s="7"/>
      <c r="J15" s="7"/>
      <c r="K15" s="7"/>
      <c r="L15" s="7"/>
      <c r="M15" s="7"/>
      <c r="N15" s="7"/>
      <c r="O15" s="7"/>
      <c r="P15" s="7"/>
      <c r="Q15" s="7"/>
      <c r="R15" s="7"/>
      <c r="S15" s="7"/>
      <c r="T15" s="7"/>
      <c r="U15" s="7"/>
      <c r="V15" s="7"/>
      <c r="W15" s="7"/>
      <c r="X15" s="7"/>
      <c r="Y15" s="7"/>
      <c r="Z15" s="7"/>
    </row>
    <row r="16">
      <c r="A16" s="27" t="s">
        <v>186</v>
      </c>
      <c r="B16" s="22" t="s">
        <v>192</v>
      </c>
      <c r="C16" s="22" t="s">
        <v>193</v>
      </c>
      <c r="D16" s="23">
        <f>919833131801</f>
        <v>919833131801</v>
      </c>
      <c r="E16" s="15"/>
      <c r="F16" s="24" t="s">
        <v>194</v>
      </c>
      <c r="G16" s="22" t="s">
        <v>200</v>
      </c>
      <c r="H16" s="15"/>
      <c r="I16" s="15"/>
      <c r="J16" s="15"/>
      <c r="K16" s="15"/>
      <c r="L16" s="15"/>
      <c r="M16" s="15"/>
      <c r="N16" s="15"/>
      <c r="O16" s="15"/>
      <c r="P16" s="15"/>
      <c r="Q16" s="15"/>
      <c r="R16" s="15"/>
      <c r="S16" s="15"/>
      <c r="T16" s="15"/>
      <c r="U16" s="15"/>
      <c r="V16" s="15"/>
      <c r="W16" s="15"/>
      <c r="X16" s="15"/>
      <c r="Y16" s="15"/>
      <c r="Z16" s="15"/>
    </row>
    <row r="17">
      <c r="A17" s="9" t="s">
        <v>201</v>
      </c>
      <c r="B17" s="9" t="s">
        <v>202</v>
      </c>
      <c r="C17" s="9" t="s">
        <v>203</v>
      </c>
      <c r="D17" s="12">
        <f>918088552507</f>
        <v>918088552507</v>
      </c>
      <c r="E17" s="7"/>
      <c r="F17" s="16" t="s">
        <v>209</v>
      </c>
      <c r="G17" s="7"/>
      <c r="H17" s="7"/>
      <c r="I17" s="7"/>
      <c r="J17" s="7"/>
      <c r="K17" s="7"/>
      <c r="L17" s="7"/>
      <c r="M17" s="7"/>
      <c r="N17" s="7"/>
      <c r="O17" s="7"/>
      <c r="P17" s="7"/>
      <c r="Q17" s="7"/>
      <c r="R17" s="7"/>
      <c r="S17" s="7"/>
      <c r="T17" s="7"/>
      <c r="U17" s="7"/>
      <c r="V17" s="7"/>
      <c r="W17" s="7"/>
      <c r="X17" s="7"/>
      <c r="Y17" s="7"/>
      <c r="Z17" s="7"/>
    </row>
    <row r="18">
      <c r="A18" s="28" t="s">
        <v>215</v>
      </c>
      <c r="B18" s="28" t="s">
        <v>221</v>
      </c>
      <c r="C18" s="28" t="s">
        <v>222</v>
      </c>
      <c r="D18" s="29">
        <f>919916223311</f>
        <v>919916223311</v>
      </c>
      <c r="E18" s="30"/>
      <c r="F18" s="31" t="s">
        <v>228</v>
      </c>
      <c r="G18" s="28" t="s">
        <v>234</v>
      </c>
      <c r="H18" s="30"/>
      <c r="I18" s="30"/>
      <c r="J18" s="30"/>
      <c r="K18" s="30"/>
      <c r="L18" s="30"/>
      <c r="M18" s="30"/>
      <c r="N18" s="30"/>
      <c r="O18" s="30"/>
      <c r="P18" s="30"/>
      <c r="Q18" s="30"/>
      <c r="R18" s="30"/>
      <c r="S18" s="30"/>
      <c r="T18" s="30"/>
      <c r="U18" s="30"/>
      <c r="V18" s="30"/>
      <c r="W18" s="30"/>
      <c r="X18" s="30"/>
      <c r="Y18" s="30"/>
      <c r="Z18" s="30"/>
    </row>
    <row r="19">
      <c r="A19" s="9" t="s">
        <v>235</v>
      </c>
      <c r="B19" s="13" t="s">
        <v>236</v>
      </c>
      <c r="C19" s="13" t="s">
        <v>237</v>
      </c>
      <c r="D19" s="13" t="s">
        <v>238</v>
      </c>
      <c r="E19" s="7"/>
      <c r="F19" s="16" t="s">
        <v>239</v>
      </c>
      <c r="G19" s="7"/>
      <c r="H19" s="7"/>
      <c r="I19" s="7"/>
      <c r="J19" s="7"/>
      <c r="K19" s="7"/>
      <c r="L19" s="7"/>
      <c r="M19" s="7"/>
      <c r="N19" s="7"/>
      <c r="O19" s="7"/>
      <c r="P19" s="7"/>
      <c r="Q19" s="7"/>
      <c r="R19" s="7"/>
      <c r="S19" s="7"/>
      <c r="T19" s="7"/>
      <c r="U19" s="7"/>
      <c r="V19" s="7"/>
      <c r="W19" s="7"/>
      <c r="X19" s="7"/>
      <c r="Y19" s="7"/>
      <c r="Z19" s="7"/>
    </row>
    <row r="20">
      <c r="A20" s="7" t="s">
        <v>240</v>
      </c>
      <c r="B20" s="7" t="s">
        <v>241</v>
      </c>
      <c r="C20" s="13" t="s">
        <v>242</v>
      </c>
      <c r="D20" s="12">
        <f>919980867712</f>
        <v>919980867712</v>
      </c>
      <c r="E20" s="7"/>
      <c r="F20" s="33" t="s">
        <v>243</v>
      </c>
      <c r="G20" s="7"/>
      <c r="H20" s="7"/>
      <c r="I20" s="7"/>
      <c r="J20" s="7"/>
      <c r="K20" s="7"/>
      <c r="L20" s="7"/>
      <c r="M20" s="7"/>
      <c r="N20" s="7"/>
      <c r="O20" s="7"/>
      <c r="P20" s="7"/>
      <c r="Q20" s="7"/>
      <c r="R20" s="7"/>
      <c r="S20" s="7"/>
      <c r="T20" s="7"/>
      <c r="U20" s="7"/>
      <c r="V20" s="7"/>
      <c r="W20" s="7"/>
      <c r="X20" s="7"/>
      <c r="Y20" s="7"/>
      <c r="Z20" s="7"/>
    </row>
    <row r="21">
      <c r="A21" s="15" t="s">
        <v>250</v>
      </c>
      <c r="B21" s="15" t="s">
        <v>251</v>
      </c>
      <c r="C21" s="22" t="s">
        <v>252</v>
      </c>
      <c r="D21" s="23">
        <f>919845053282</f>
        <v>919845053282</v>
      </c>
      <c r="E21" s="15"/>
      <c r="F21" s="35" t="s">
        <v>253</v>
      </c>
      <c r="G21" s="15" t="s">
        <v>259</v>
      </c>
      <c r="H21" s="15"/>
      <c r="I21" s="15"/>
      <c r="J21" s="15"/>
      <c r="K21" s="15"/>
      <c r="L21" s="15"/>
      <c r="M21" s="15"/>
      <c r="N21" s="15"/>
      <c r="O21" s="15"/>
      <c r="P21" s="15"/>
      <c r="Q21" s="15"/>
      <c r="R21" s="15"/>
      <c r="S21" s="15"/>
      <c r="T21" s="15"/>
      <c r="U21" s="15"/>
      <c r="V21" s="15"/>
      <c r="W21" s="15"/>
      <c r="X21" s="15"/>
      <c r="Y21" s="15"/>
      <c r="Z21" s="15"/>
    </row>
    <row r="22">
      <c r="A22" s="7" t="s">
        <v>260</v>
      </c>
      <c r="B22" s="7" t="s">
        <v>261</v>
      </c>
      <c r="C22" s="13" t="s">
        <v>252</v>
      </c>
      <c r="D22" s="13" t="s">
        <v>262</v>
      </c>
      <c r="E22" s="7"/>
      <c r="F22" s="33" t="s">
        <v>263</v>
      </c>
      <c r="G22" s="7"/>
      <c r="H22" s="7"/>
      <c r="I22" s="7"/>
      <c r="J22" s="7"/>
      <c r="K22" s="7"/>
      <c r="L22" s="7"/>
      <c r="M22" s="7"/>
      <c r="N22" s="7"/>
      <c r="O22" s="7"/>
      <c r="P22" s="7"/>
      <c r="Q22" s="7"/>
      <c r="R22" s="7"/>
      <c r="S22" s="7"/>
      <c r="T22" s="7"/>
      <c r="U22" s="7"/>
      <c r="V22" s="7"/>
      <c r="W22" s="7"/>
      <c r="X22" s="7"/>
      <c r="Y22" s="7"/>
      <c r="Z22" s="7"/>
    </row>
    <row r="23">
      <c r="A23" s="7" t="s">
        <v>271</v>
      </c>
      <c r="B23" s="7" t="s">
        <v>273</v>
      </c>
      <c r="C23" s="13" t="s">
        <v>252</v>
      </c>
      <c r="D23" s="12">
        <f>919833244488</f>
        <v>919833244488</v>
      </c>
      <c r="E23" s="7"/>
      <c r="F23" s="33" t="s">
        <v>275</v>
      </c>
      <c r="G23" s="7"/>
      <c r="H23" s="7"/>
      <c r="I23" s="7"/>
      <c r="J23" s="7"/>
      <c r="K23" s="7"/>
      <c r="L23" s="7"/>
      <c r="M23" s="7"/>
      <c r="N23" s="7"/>
      <c r="O23" s="7"/>
      <c r="P23" s="7"/>
      <c r="Q23" s="7"/>
      <c r="R23" s="7"/>
      <c r="S23" s="7"/>
      <c r="T23" s="7"/>
      <c r="U23" s="7"/>
      <c r="V23" s="7"/>
      <c r="W23" s="7"/>
      <c r="X23" s="7"/>
      <c r="Y23" s="7"/>
      <c r="Z23" s="7"/>
    </row>
    <row r="24">
      <c r="A24" s="7" t="s">
        <v>284</v>
      </c>
      <c r="B24" s="7" t="s">
        <v>287</v>
      </c>
      <c r="C24" s="13" t="s">
        <v>289</v>
      </c>
      <c r="D24" s="13" t="s">
        <v>290</v>
      </c>
      <c r="E24" s="7"/>
      <c r="F24" s="33" t="s">
        <v>291</v>
      </c>
      <c r="G24" s="7" t="s">
        <v>123</v>
      </c>
      <c r="H24" s="7"/>
      <c r="I24" s="7"/>
      <c r="J24" s="7"/>
      <c r="K24" s="7"/>
      <c r="L24" s="7"/>
      <c r="M24" s="7"/>
      <c r="N24" s="7"/>
      <c r="O24" s="7"/>
      <c r="P24" s="7"/>
      <c r="Q24" s="7"/>
      <c r="R24" s="7"/>
      <c r="S24" s="7"/>
      <c r="T24" s="7"/>
      <c r="U24" s="7"/>
      <c r="V24" s="7"/>
      <c r="W24" s="7"/>
      <c r="X24" s="7"/>
      <c r="Y24" s="7"/>
      <c r="Z24" s="7"/>
    </row>
    <row r="25">
      <c r="A25" s="7" t="s">
        <v>295</v>
      </c>
      <c r="B25" s="7" t="s">
        <v>296</v>
      </c>
      <c r="C25" s="13" t="s">
        <v>10</v>
      </c>
      <c r="D25" s="7"/>
      <c r="E25" s="7"/>
      <c r="F25" s="33" t="s">
        <v>297</v>
      </c>
      <c r="G25" s="7"/>
      <c r="H25" s="7"/>
      <c r="I25" s="7"/>
      <c r="J25" s="7"/>
      <c r="K25" s="7"/>
      <c r="L25" s="7"/>
      <c r="M25" s="7"/>
      <c r="N25" s="7"/>
      <c r="O25" s="7"/>
      <c r="P25" s="7"/>
      <c r="Q25" s="7"/>
      <c r="R25" s="7"/>
      <c r="S25" s="7"/>
      <c r="T25" s="7"/>
      <c r="U25" s="7"/>
      <c r="V25" s="7"/>
      <c r="W25" s="7"/>
      <c r="X25" s="7"/>
      <c r="Y25" s="7"/>
      <c r="Z25" s="7"/>
    </row>
    <row r="26">
      <c r="A26" s="30" t="s">
        <v>300</v>
      </c>
      <c r="B26" s="30" t="s">
        <v>301</v>
      </c>
      <c r="C26" s="28" t="s">
        <v>302</v>
      </c>
      <c r="D26" s="29">
        <f>919600095367</f>
        <v>919600095367</v>
      </c>
      <c r="E26" s="30"/>
      <c r="F26" s="36" t="s">
        <v>303</v>
      </c>
      <c r="G26" s="30"/>
      <c r="H26" s="30"/>
      <c r="I26" s="30"/>
      <c r="J26" s="30"/>
      <c r="K26" s="30"/>
      <c r="L26" s="30"/>
      <c r="M26" s="30"/>
      <c r="N26" s="30"/>
      <c r="O26" s="30"/>
      <c r="P26" s="30"/>
      <c r="Q26" s="30"/>
      <c r="R26" s="30"/>
      <c r="S26" s="30"/>
      <c r="T26" s="30"/>
      <c r="U26" s="30"/>
      <c r="V26" s="30"/>
      <c r="W26" s="30"/>
      <c r="X26" s="30"/>
      <c r="Y26" s="30"/>
      <c r="Z26" s="30"/>
    </row>
    <row r="27">
      <c r="A27" s="37" t="s">
        <v>315</v>
      </c>
      <c r="B27" s="37" t="s">
        <v>316</v>
      </c>
      <c r="C27" s="38" t="s">
        <v>319</v>
      </c>
      <c r="D27" s="39">
        <v>9.19901100033E11</v>
      </c>
      <c r="E27" s="37"/>
      <c r="F27" s="40" t="s">
        <v>322</v>
      </c>
      <c r="G27" s="37" t="s">
        <v>328</v>
      </c>
      <c r="H27" s="37"/>
      <c r="I27" s="37"/>
      <c r="J27" s="37"/>
      <c r="K27" s="37"/>
      <c r="L27" s="37"/>
      <c r="M27" s="37"/>
      <c r="N27" s="37"/>
      <c r="O27" s="37"/>
      <c r="P27" s="37"/>
      <c r="Q27" s="37"/>
      <c r="R27" s="37"/>
      <c r="S27" s="37"/>
      <c r="T27" s="37"/>
      <c r="U27" s="37"/>
      <c r="V27" s="37"/>
      <c r="W27" s="37"/>
      <c r="X27" s="37"/>
      <c r="Y27" s="37"/>
      <c r="Z27" s="37"/>
    </row>
    <row r="28">
      <c r="A28" s="7" t="s">
        <v>333</v>
      </c>
      <c r="B28" s="7" t="s">
        <v>335</v>
      </c>
      <c r="C28" s="13" t="s">
        <v>252</v>
      </c>
      <c r="D28" s="13" t="s">
        <v>336</v>
      </c>
      <c r="E28" s="7"/>
      <c r="F28" s="33" t="s">
        <v>337</v>
      </c>
      <c r="G28" s="7"/>
      <c r="H28" s="7"/>
      <c r="I28" s="7"/>
      <c r="J28" s="7"/>
      <c r="K28" s="7"/>
      <c r="L28" s="7"/>
      <c r="M28" s="7"/>
      <c r="N28" s="7"/>
      <c r="O28" s="7"/>
      <c r="P28" s="7"/>
      <c r="Q28" s="7"/>
      <c r="R28" s="7"/>
      <c r="S28" s="7"/>
      <c r="T28" s="7"/>
      <c r="U28" s="7"/>
      <c r="V28" s="7"/>
      <c r="W28" s="7"/>
      <c r="X28" s="7"/>
      <c r="Y28" s="7"/>
      <c r="Z28" s="7"/>
    </row>
    <row r="29">
      <c r="A29" s="7" t="s">
        <v>343</v>
      </c>
      <c r="B29" s="7" t="s">
        <v>344</v>
      </c>
      <c r="C29" s="13" t="s">
        <v>203</v>
      </c>
      <c r="D29" s="13" t="s">
        <v>345</v>
      </c>
      <c r="E29" s="7"/>
      <c r="F29" s="33" t="s">
        <v>346</v>
      </c>
      <c r="G29" s="7" t="s">
        <v>352</v>
      </c>
      <c r="H29" s="7"/>
      <c r="I29" s="7"/>
      <c r="J29" s="7"/>
      <c r="K29" s="7"/>
      <c r="L29" s="7"/>
      <c r="M29" s="7"/>
      <c r="N29" s="7"/>
      <c r="O29" s="7"/>
      <c r="P29" s="7"/>
      <c r="Q29" s="7"/>
      <c r="R29" s="7"/>
      <c r="S29" s="7"/>
      <c r="T29" s="7"/>
      <c r="U29" s="7"/>
      <c r="V29" s="7"/>
      <c r="W29" s="7"/>
      <c r="X29" s="7"/>
      <c r="Y29" s="7"/>
      <c r="Z29" s="7"/>
    </row>
    <row r="30">
      <c r="A30" s="7" t="s">
        <v>353</v>
      </c>
      <c r="B30" s="7" t="s">
        <v>354</v>
      </c>
      <c r="C30" s="13" t="s">
        <v>302</v>
      </c>
      <c r="D30" s="13" t="s">
        <v>355</v>
      </c>
      <c r="E30" s="7"/>
      <c r="F30" s="33" t="s">
        <v>356</v>
      </c>
      <c r="G30" s="7"/>
      <c r="H30" s="7"/>
      <c r="I30" s="7"/>
      <c r="J30" s="7"/>
      <c r="K30" s="7"/>
      <c r="L30" s="7"/>
      <c r="M30" s="7"/>
      <c r="N30" s="7"/>
      <c r="O30" s="7"/>
      <c r="P30" s="7"/>
      <c r="Q30" s="7"/>
      <c r="R30" s="7"/>
      <c r="S30" s="7"/>
      <c r="T30" s="7"/>
      <c r="U30" s="7"/>
      <c r="V30" s="7"/>
      <c r="W30" s="7"/>
      <c r="X30" s="7"/>
      <c r="Y30" s="7"/>
      <c r="Z30" s="7"/>
    </row>
    <row r="31">
      <c r="A31" s="7" t="s">
        <v>360</v>
      </c>
      <c r="B31" s="7" t="s">
        <v>361</v>
      </c>
      <c r="C31" s="13" t="s">
        <v>10</v>
      </c>
      <c r="D31" s="12">
        <f>919731550639</f>
        <v>919731550639</v>
      </c>
      <c r="E31" s="7"/>
      <c r="F31" s="33" t="s">
        <v>362</v>
      </c>
      <c r="G31" s="7" t="s">
        <v>367</v>
      </c>
      <c r="H31" s="7"/>
      <c r="I31" s="7"/>
      <c r="J31" s="7"/>
      <c r="K31" s="7"/>
      <c r="L31" s="7"/>
      <c r="M31" s="7"/>
      <c r="N31" s="7"/>
      <c r="O31" s="7"/>
      <c r="P31" s="7"/>
      <c r="Q31" s="7"/>
      <c r="R31" s="7"/>
      <c r="S31" s="7"/>
      <c r="T31" s="7"/>
      <c r="U31" s="7"/>
      <c r="V31" s="7"/>
      <c r="W31" s="7"/>
      <c r="X31" s="7"/>
      <c r="Y31" s="7"/>
      <c r="Z31" s="7"/>
    </row>
    <row r="32">
      <c r="A32" s="42" t="s">
        <v>369</v>
      </c>
      <c r="B32" s="42" t="s">
        <v>370</v>
      </c>
      <c r="C32" s="43" t="s">
        <v>371</v>
      </c>
      <c r="D32" s="44">
        <f>919003024477</f>
        <v>919003024477</v>
      </c>
      <c r="E32" s="42" t="s">
        <v>377</v>
      </c>
      <c r="F32" s="45" t="s">
        <v>378</v>
      </c>
      <c r="G32" s="42"/>
      <c r="H32" s="42"/>
      <c r="I32" s="42"/>
      <c r="J32" s="42"/>
      <c r="K32" s="42"/>
      <c r="L32" s="42"/>
      <c r="M32" s="42"/>
      <c r="N32" s="42"/>
      <c r="O32" s="42"/>
      <c r="P32" s="42"/>
      <c r="Q32" s="42"/>
      <c r="R32" s="42"/>
      <c r="S32" s="42"/>
      <c r="T32" s="42"/>
      <c r="U32" s="42"/>
      <c r="V32" s="42"/>
      <c r="W32" s="42"/>
      <c r="X32" s="42"/>
      <c r="Y32" s="42"/>
      <c r="Z32" s="42"/>
    </row>
    <row r="33">
      <c r="A33" s="7" t="s">
        <v>385</v>
      </c>
      <c r="B33" s="7" t="s">
        <v>387</v>
      </c>
      <c r="C33" s="13" t="s">
        <v>252</v>
      </c>
      <c r="D33" s="7"/>
      <c r="E33" s="7"/>
      <c r="F33" s="33" t="s">
        <v>391</v>
      </c>
      <c r="G33" s="7"/>
      <c r="H33" s="7"/>
      <c r="I33" s="7"/>
      <c r="J33" s="7"/>
      <c r="K33" s="7"/>
      <c r="L33" s="7"/>
      <c r="M33" s="7"/>
      <c r="N33" s="7"/>
      <c r="O33" s="7"/>
      <c r="P33" s="7"/>
      <c r="Q33" s="7"/>
      <c r="R33" s="7"/>
      <c r="S33" s="7"/>
      <c r="T33" s="7"/>
      <c r="U33" s="7"/>
      <c r="V33" s="7"/>
      <c r="W33" s="7"/>
      <c r="X33" s="7"/>
      <c r="Y33" s="7"/>
      <c r="Z33" s="7"/>
    </row>
    <row r="34">
      <c r="A34" s="7" t="s">
        <v>393</v>
      </c>
      <c r="B34" s="7" t="s">
        <v>394</v>
      </c>
      <c r="C34" s="13" t="s">
        <v>252</v>
      </c>
      <c r="D34" s="7"/>
      <c r="E34" s="7"/>
      <c r="F34" s="33" t="s">
        <v>398</v>
      </c>
      <c r="G34" s="7"/>
      <c r="H34" s="7"/>
      <c r="I34" s="7"/>
      <c r="J34" s="7"/>
      <c r="K34" s="7"/>
      <c r="L34" s="7"/>
      <c r="M34" s="7"/>
      <c r="N34" s="7"/>
      <c r="O34" s="7"/>
      <c r="P34" s="7"/>
      <c r="Q34" s="7"/>
      <c r="R34" s="7"/>
      <c r="S34" s="7"/>
      <c r="T34" s="7"/>
      <c r="U34" s="7"/>
      <c r="V34" s="7"/>
      <c r="W34" s="7"/>
      <c r="X34" s="7"/>
      <c r="Y34" s="7"/>
      <c r="Z34" s="7"/>
    </row>
    <row r="35">
      <c r="A35" s="7" t="s">
        <v>405</v>
      </c>
      <c r="B35" s="7" t="s">
        <v>406</v>
      </c>
      <c r="C35" s="13" t="s">
        <v>252</v>
      </c>
      <c r="D35" s="7"/>
      <c r="E35" s="7"/>
      <c r="F35" s="33" t="s">
        <v>407</v>
      </c>
      <c r="G35" s="7"/>
      <c r="H35" s="7"/>
      <c r="I35" s="7"/>
      <c r="J35" s="7"/>
      <c r="K35" s="7"/>
      <c r="L35" s="7"/>
      <c r="M35" s="7"/>
      <c r="N35" s="7"/>
      <c r="O35" s="7"/>
      <c r="P35" s="7"/>
      <c r="Q35" s="7"/>
      <c r="R35" s="7"/>
      <c r="S35" s="7"/>
      <c r="T35" s="7"/>
      <c r="U35" s="7"/>
      <c r="V35" s="7"/>
      <c r="W35" s="7"/>
      <c r="X35" s="7"/>
      <c r="Y35" s="7"/>
      <c r="Z35" s="7"/>
    </row>
    <row r="36">
      <c r="A36" s="7" t="s">
        <v>421</v>
      </c>
      <c r="B36" s="7" t="s">
        <v>423</v>
      </c>
      <c r="C36" s="13" t="s">
        <v>252</v>
      </c>
      <c r="D36" s="7"/>
      <c r="E36" s="7"/>
      <c r="F36" s="33" t="s">
        <v>425</v>
      </c>
      <c r="G36" s="7"/>
      <c r="H36" s="7"/>
      <c r="I36" s="7"/>
      <c r="J36" s="7"/>
      <c r="K36" s="7"/>
      <c r="L36" s="7"/>
      <c r="M36" s="7"/>
      <c r="N36" s="7"/>
      <c r="O36" s="7"/>
      <c r="P36" s="7"/>
      <c r="Q36" s="7"/>
      <c r="R36" s="7"/>
      <c r="S36" s="7"/>
      <c r="T36" s="7"/>
      <c r="U36" s="7"/>
      <c r="V36" s="7"/>
      <c r="W36" s="7"/>
      <c r="X36" s="7"/>
      <c r="Y36" s="7"/>
      <c r="Z36" s="7"/>
    </row>
    <row r="37">
      <c r="A37" s="7" t="s">
        <v>432</v>
      </c>
      <c r="B37" s="7" t="s">
        <v>433</v>
      </c>
      <c r="C37" s="13" t="s">
        <v>252</v>
      </c>
      <c r="D37" s="7"/>
      <c r="E37" s="7"/>
      <c r="F37" s="33" t="s">
        <v>434</v>
      </c>
      <c r="G37" s="7"/>
      <c r="H37" s="7"/>
      <c r="I37" s="7"/>
      <c r="J37" s="7"/>
      <c r="K37" s="7"/>
      <c r="L37" s="7"/>
      <c r="M37" s="7"/>
      <c r="N37" s="7"/>
      <c r="O37" s="7"/>
      <c r="P37" s="7"/>
      <c r="Q37" s="7"/>
      <c r="R37" s="7"/>
      <c r="S37" s="7"/>
      <c r="T37" s="7"/>
      <c r="U37" s="7"/>
      <c r="V37" s="7"/>
      <c r="W37" s="7"/>
      <c r="X37" s="7"/>
      <c r="Y37" s="7"/>
      <c r="Z37" s="7"/>
    </row>
    <row r="38">
      <c r="A38" s="7" t="s">
        <v>440</v>
      </c>
      <c r="B38" s="7" t="s">
        <v>441</v>
      </c>
      <c r="C38" s="13" t="s">
        <v>442</v>
      </c>
      <c r="D38" s="7"/>
      <c r="E38" s="7"/>
      <c r="F38" s="33" t="s">
        <v>443</v>
      </c>
      <c r="G38" s="7"/>
      <c r="H38" s="7"/>
      <c r="I38" s="7"/>
      <c r="J38" s="7"/>
      <c r="K38" s="7"/>
      <c r="L38" s="7"/>
      <c r="M38" s="7"/>
      <c r="N38" s="7"/>
      <c r="O38" s="7"/>
      <c r="P38" s="7"/>
      <c r="Q38" s="7"/>
      <c r="R38" s="7"/>
      <c r="S38" s="7"/>
      <c r="T38" s="7"/>
      <c r="U38" s="7"/>
      <c r="V38" s="7"/>
      <c r="W38" s="7"/>
      <c r="X38" s="7"/>
      <c r="Y38" s="7"/>
      <c r="Z38" s="7"/>
    </row>
    <row r="39">
      <c r="A39" s="7" t="s">
        <v>446</v>
      </c>
      <c r="B39" s="7" t="s">
        <v>447</v>
      </c>
      <c r="C39" s="13" t="s">
        <v>252</v>
      </c>
      <c r="D39" s="7"/>
      <c r="E39" s="7"/>
      <c r="F39" s="33" t="s">
        <v>448</v>
      </c>
      <c r="G39" s="7"/>
      <c r="H39" s="7"/>
      <c r="I39" s="7"/>
      <c r="J39" s="7"/>
      <c r="K39" s="7"/>
      <c r="L39" s="7"/>
      <c r="M39" s="7"/>
      <c r="N39" s="7"/>
      <c r="O39" s="7"/>
      <c r="P39" s="7"/>
      <c r="Q39" s="7"/>
      <c r="R39" s="7"/>
      <c r="S39" s="7"/>
      <c r="T39" s="7"/>
      <c r="U39" s="7"/>
      <c r="V39" s="7"/>
      <c r="W39" s="7"/>
      <c r="X39" s="7"/>
      <c r="Y39" s="7"/>
      <c r="Z39" s="7"/>
    </row>
    <row r="40">
      <c r="A40" s="46" t="s">
        <v>452</v>
      </c>
      <c r="B40" s="7" t="s">
        <v>455</v>
      </c>
      <c r="C40" s="13" t="s">
        <v>252</v>
      </c>
      <c r="D40" s="12">
        <f>919742203975</f>
        <v>919742203975</v>
      </c>
      <c r="E40" s="7" t="s">
        <v>456</v>
      </c>
      <c r="F40" s="33" t="s">
        <v>457</v>
      </c>
      <c r="G40" s="7"/>
      <c r="H40" s="7"/>
      <c r="I40" s="7"/>
      <c r="J40" s="7"/>
      <c r="K40" s="7"/>
      <c r="L40" s="7"/>
      <c r="M40" s="7"/>
      <c r="N40" s="7"/>
      <c r="O40" s="7"/>
      <c r="P40" s="7"/>
      <c r="Q40" s="7"/>
      <c r="R40" s="7"/>
      <c r="S40" s="7"/>
      <c r="T40" s="7"/>
      <c r="U40" s="7"/>
      <c r="V40" s="7"/>
      <c r="W40" s="7"/>
      <c r="X40" s="7"/>
      <c r="Y40" s="7"/>
      <c r="Z40" s="7"/>
    </row>
    <row r="41">
      <c r="A41" s="46" t="s">
        <v>458</v>
      </c>
      <c r="B41" s="7" t="s">
        <v>459</v>
      </c>
      <c r="C41" s="13" t="s">
        <v>460</v>
      </c>
      <c r="D41" s="22" t="s">
        <v>461</v>
      </c>
      <c r="E41" s="7"/>
      <c r="F41" s="33" t="s">
        <v>462</v>
      </c>
      <c r="G41" s="7"/>
      <c r="H41" s="7"/>
      <c r="I41" s="7"/>
      <c r="J41" s="7"/>
      <c r="K41" s="7"/>
      <c r="L41" s="7"/>
      <c r="M41" s="7"/>
      <c r="N41" s="7"/>
      <c r="O41" s="7"/>
      <c r="P41" s="7"/>
      <c r="Q41" s="7"/>
      <c r="R41" s="7"/>
      <c r="S41" s="7"/>
      <c r="T41" s="7"/>
      <c r="U41" s="7"/>
      <c r="V41" s="7"/>
      <c r="W41" s="7"/>
      <c r="X41" s="7"/>
      <c r="Y41" s="7"/>
      <c r="Z41" s="7"/>
    </row>
    <row r="42">
      <c r="A42" s="46" t="s">
        <v>465</v>
      </c>
      <c r="B42" s="7" t="s">
        <v>466</v>
      </c>
      <c r="C42" s="13" t="s">
        <v>467</v>
      </c>
      <c r="D42" s="12">
        <f>919742408134</f>
        <v>919742408134</v>
      </c>
      <c r="E42" s="7" t="s">
        <v>468</v>
      </c>
      <c r="F42" s="33" t="s">
        <v>469</v>
      </c>
      <c r="G42" s="7"/>
      <c r="H42" s="7"/>
      <c r="I42" s="7"/>
      <c r="J42" s="7"/>
      <c r="K42" s="7"/>
      <c r="L42" s="7"/>
      <c r="M42" s="7"/>
      <c r="N42" s="7"/>
      <c r="O42" s="7"/>
      <c r="P42" s="7"/>
      <c r="Q42" s="7"/>
      <c r="R42" s="7"/>
      <c r="S42" s="7"/>
      <c r="T42" s="7"/>
      <c r="U42" s="7"/>
      <c r="V42" s="7"/>
      <c r="W42" s="7"/>
      <c r="X42" s="7"/>
      <c r="Y42" s="7"/>
      <c r="Z42" s="7"/>
    </row>
    <row r="43">
      <c r="A43" s="46" t="s">
        <v>476</v>
      </c>
      <c r="B43" s="17" t="s">
        <v>477</v>
      </c>
      <c r="C43" s="9" t="s">
        <v>478</v>
      </c>
      <c r="D43" s="48">
        <f>919845096662</f>
        <v>919845096662</v>
      </c>
      <c r="E43" s="17"/>
      <c r="F43" s="49" t="s">
        <v>479</v>
      </c>
      <c r="G43" s="17" t="s">
        <v>486</v>
      </c>
      <c r="H43" s="17"/>
      <c r="I43" s="17"/>
      <c r="J43" s="17"/>
      <c r="K43" s="17"/>
      <c r="L43" s="17"/>
      <c r="M43" s="17"/>
      <c r="N43" s="17"/>
      <c r="O43" s="17"/>
      <c r="P43" s="17"/>
      <c r="Q43" s="17"/>
      <c r="R43" s="17"/>
      <c r="S43" s="17"/>
      <c r="T43" s="17"/>
      <c r="U43" s="17"/>
      <c r="V43" s="17"/>
      <c r="W43" s="17"/>
      <c r="X43" s="17"/>
      <c r="Y43" s="17"/>
      <c r="Z43" s="17"/>
    </row>
    <row r="44">
      <c r="A44" s="46" t="s">
        <v>487</v>
      </c>
      <c r="B44" s="7" t="s">
        <v>488</v>
      </c>
      <c r="C44" s="13" t="s">
        <v>51</v>
      </c>
      <c r="D44" s="12">
        <f>919739009421</f>
        <v>919739009421</v>
      </c>
      <c r="E44" s="7"/>
      <c r="F44" s="33" t="s">
        <v>489</v>
      </c>
      <c r="G44" s="7"/>
      <c r="H44" s="7"/>
      <c r="I44" s="7"/>
      <c r="J44" s="7"/>
      <c r="K44" s="7"/>
      <c r="L44" s="7"/>
      <c r="M44" s="7"/>
      <c r="N44" s="7"/>
      <c r="O44" s="7"/>
      <c r="P44" s="7"/>
      <c r="Q44" s="7"/>
      <c r="R44" s="7"/>
      <c r="S44" s="7"/>
      <c r="T44" s="7"/>
      <c r="U44" s="7"/>
      <c r="V44" s="7"/>
      <c r="W44" s="7"/>
      <c r="X44" s="7"/>
      <c r="Y44" s="7"/>
      <c r="Z44" s="7"/>
    </row>
    <row r="45">
      <c r="A45" s="46" t="s">
        <v>494</v>
      </c>
      <c r="B45" s="7" t="s">
        <v>495</v>
      </c>
      <c r="C45" s="13" t="s">
        <v>496</v>
      </c>
      <c r="D45" s="12">
        <f>919845075256</f>
        <v>919845075256</v>
      </c>
      <c r="E45" s="7"/>
      <c r="F45" s="33" t="s">
        <v>502</v>
      </c>
      <c r="G45" s="7" t="s">
        <v>503</v>
      </c>
      <c r="H45" s="7"/>
      <c r="I45" s="7"/>
      <c r="J45" s="7"/>
      <c r="K45" s="7"/>
      <c r="L45" s="7"/>
      <c r="M45" s="7"/>
      <c r="N45" s="7"/>
      <c r="O45" s="7"/>
      <c r="P45" s="7"/>
      <c r="Q45" s="7"/>
      <c r="R45" s="7"/>
      <c r="S45" s="7"/>
      <c r="T45" s="7"/>
      <c r="U45" s="7"/>
      <c r="V45" s="7"/>
      <c r="W45" s="7"/>
      <c r="X45" s="7"/>
      <c r="Y45" s="7"/>
      <c r="Z45" s="7"/>
    </row>
    <row r="46">
      <c r="A46" s="46" t="s">
        <v>510</v>
      </c>
      <c r="B46" s="7" t="s">
        <v>511</v>
      </c>
      <c r="C46" s="13" t="s">
        <v>512</v>
      </c>
      <c r="D46" s="13" t="s">
        <v>513</v>
      </c>
      <c r="E46" s="7"/>
      <c r="F46" s="33" t="s">
        <v>514</v>
      </c>
      <c r="G46" s="7"/>
      <c r="H46" s="7"/>
      <c r="I46" s="7"/>
      <c r="J46" s="7"/>
      <c r="K46" s="7"/>
      <c r="L46" s="7"/>
      <c r="M46" s="7"/>
      <c r="N46" s="7"/>
      <c r="O46" s="7"/>
      <c r="P46" s="7"/>
      <c r="Q46" s="7"/>
      <c r="R46" s="7"/>
      <c r="S46" s="7"/>
      <c r="T46" s="7"/>
      <c r="U46" s="7"/>
      <c r="V46" s="7"/>
      <c r="W46" s="7"/>
      <c r="X46" s="7"/>
      <c r="Y46" s="7"/>
      <c r="Z46" s="7"/>
    </row>
    <row r="47">
      <c r="A47" s="46" t="s">
        <v>515</v>
      </c>
      <c r="B47" s="7" t="s">
        <v>516</v>
      </c>
      <c r="C47" s="13" t="s">
        <v>517</v>
      </c>
      <c r="D47" s="12">
        <f>919591987159</f>
        <v>919591987159</v>
      </c>
      <c r="E47" s="7"/>
      <c r="F47" s="33" t="s">
        <v>518</v>
      </c>
      <c r="G47" s="7"/>
      <c r="H47" s="7"/>
      <c r="I47" s="7"/>
      <c r="J47" s="7"/>
      <c r="K47" s="7"/>
      <c r="L47" s="7"/>
      <c r="M47" s="7"/>
      <c r="N47" s="7"/>
      <c r="O47" s="7"/>
      <c r="P47" s="7"/>
      <c r="Q47" s="7"/>
      <c r="R47" s="7"/>
      <c r="S47" s="7"/>
      <c r="T47" s="7"/>
      <c r="U47" s="7"/>
      <c r="V47" s="7"/>
      <c r="W47" s="7"/>
      <c r="X47" s="7"/>
      <c r="Y47" s="7"/>
      <c r="Z47" s="7"/>
    </row>
    <row r="48">
      <c r="A48" s="46" t="s">
        <v>519</v>
      </c>
      <c r="B48" s="7" t="s">
        <v>520</v>
      </c>
      <c r="C48" s="13" t="s">
        <v>521</v>
      </c>
      <c r="D48" s="12">
        <f>919999078629</f>
        <v>919999078629</v>
      </c>
      <c r="E48" s="7"/>
      <c r="F48" s="33" t="s">
        <v>522</v>
      </c>
      <c r="G48" s="7"/>
      <c r="H48" s="7"/>
      <c r="I48" s="7"/>
      <c r="J48" s="7"/>
      <c r="K48" s="7"/>
      <c r="L48" s="7"/>
      <c r="M48" s="7"/>
      <c r="N48" s="7"/>
      <c r="O48" s="7"/>
      <c r="P48" s="7"/>
      <c r="Q48" s="7"/>
      <c r="R48" s="7"/>
      <c r="S48" s="7"/>
      <c r="T48" s="7"/>
      <c r="U48" s="7"/>
      <c r="V48" s="7"/>
      <c r="W48" s="7"/>
      <c r="X48" s="7"/>
      <c r="Y48" s="7"/>
      <c r="Z48" s="7"/>
    </row>
    <row r="49">
      <c r="A49" s="50" t="s">
        <v>529</v>
      </c>
      <c r="B49" s="7" t="s">
        <v>58</v>
      </c>
      <c r="C49" s="13" t="s">
        <v>203</v>
      </c>
      <c r="D49" s="13" t="s">
        <v>530</v>
      </c>
      <c r="E49" s="7"/>
      <c r="F49" s="7"/>
      <c r="G49" s="7"/>
      <c r="H49" s="7"/>
      <c r="I49" s="7"/>
      <c r="J49" s="7"/>
      <c r="K49" s="7"/>
      <c r="L49" s="7"/>
      <c r="M49" s="7"/>
      <c r="N49" s="7"/>
      <c r="O49" s="7"/>
      <c r="P49" s="7"/>
      <c r="Q49" s="7"/>
      <c r="R49" s="7"/>
      <c r="S49" s="7"/>
      <c r="T49" s="7"/>
      <c r="U49" s="7"/>
      <c r="V49" s="7"/>
      <c r="W49" s="7"/>
      <c r="X49" s="7"/>
      <c r="Y49" s="7"/>
      <c r="Z49" s="7"/>
    </row>
    <row r="50">
      <c r="A50" s="15" t="s">
        <v>534</v>
      </c>
      <c r="B50" s="15" t="s">
        <v>536</v>
      </c>
      <c r="C50" s="22" t="s">
        <v>537</v>
      </c>
      <c r="D50" s="23">
        <v>9.19845740598E11</v>
      </c>
      <c r="E50" s="15"/>
      <c r="F50" s="35" t="s">
        <v>539</v>
      </c>
      <c r="G50" s="15"/>
      <c r="H50" s="15"/>
      <c r="I50" s="15"/>
      <c r="J50" s="15"/>
      <c r="K50" s="15"/>
      <c r="L50" s="15"/>
      <c r="M50" s="15"/>
      <c r="N50" s="15"/>
      <c r="O50" s="15"/>
      <c r="P50" s="15"/>
      <c r="Q50" s="15"/>
      <c r="R50" s="15"/>
      <c r="S50" s="15"/>
      <c r="T50" s="15"/>
      <c r="U50" s="15"/>
      <c r="V50" s="15"/>
      <c r="W50" s="15"/>
      <c r="X50" s="15"/>
      <c r="Y50" s="15"/>
      <c r="Z50" s="15"/>
    </row>
    <row r="51">
      <c r="A51" s="7" t="s">
        <v>540</v>
      </c>
      <c r="B51" s="7" t="s">
        <v>542</v>
      </c>
      <c r="C51" s="13" t="s">
        <v>543</v>
      </c>
      <c r="D51" s="12">
        <f>919902022499</f>
        <v>919902022499</v>
      </c>
      <c r="E51" s="7"/>
      <c r="F51" s="33" t="s">
        <v>547</v>
      </c>
      <c r="G51" s="7"/>
      <c r="H51" s="7"/>
      <c r="I51" s="7"/>
      <c r="J51" s="7"/>
      <c r="K51" s="7"/>
      <c r="L51" s="7"/>
      <c r="M51" s="7"/>
      <c r="N51" s="7"/>
      <c r="O51" s="7"/>
      <c r="P51" s="7"/>
      <c r="Q51" s="7"/>
      <c r="R51" s="7"/>
      <c r="S51" s="7"/>
      <c r="T51" s="7"/>
      <c r="U51" s="7"/>
      <c r="V51" s="7"/>
      <c r="W51" s="7"/>
      <c r="X51" s="7"/>
      <c r="Y51" s="7"/>
      <c r="Z51" s="7"/>
    </row>
    <row r="52">
      <c r="A52" s="51" t="s">
        <v>548</v>
      </c>
      <c r="B52" s="51" t="s">
        <v>554</v>
      </c>
      <c r="C52" s="52" t="s">
        <v>555</v>
      </c>
      <c r="D52" s="52" t="s">
        <v>556</v>
      </c>
      <c r="E52" s="51"/>
      <c r="F52" s="53" t="s">
        <v>557</v>
      </c>
      <c r="G52" s="51"/>
      <c r="H52" s="51"/>
      <c r="I52" s="51"/>
      <c r="J52" s="51"/>
      <c r="K52" s="51"/>
      <c r="L52" s="51"/>
      <c r="M52" s="51"/>
      <c r="N52" s="51"/>
      <c r="O52" s="51"/>
      <c r="P52" s="51"/>
      <c r="Q52" s="51"/>
      <c r="R52" s="51"/>
      <c r="S52" s="51"/>
      <c r="T52" s="51"/>
      <c r="U52" s="51"/>
      <c r="V52" s="51"/>
      <c r="W52" s="51"/>
      <c r="X52" s="51"/>
      <c r="Y52" s="51"/>
      <c r="Z52" s="51"/>
    </row>
    <row r="53">
      <c r="A53" s="15" t="s">
        <v>563</v>
      </c>
      <c r="B53" s="15" t="s">
        <v>565</v>
      </c>
      <c r="C53" s="15"/>
      <c r="D53" s="15"/>
      <c r="E53" s="15"/>
      <c r="F53" s="15"/>
      <c r="G53" s="15" t="s">
        <v>568</v>
      </c>
      <c r="H53" s="15"/>
      <c r="I53" s="15"/>
      <c r="J53" s="15"/>
      <c r="K53" s="15"/>
      <c r="L53" s="15"/>
      <c r="M53" s="15"/>
      <c r="N53" s="15"/>
      <c r="O53" s="15"/>
      <c r="P53" s="15"/>
      <c r="Q53" s="15"/>
      <c r="R53" s="15"/>
      <c r="S53" s="15"/>
      <c r="T53" s="15"/>
      <c r="U53" s="15"/>
      <c r="V53" s="15"/>
      <c r="W53" s="15"/>
      <c r="X53" s="15"/>
      <c r="Y53" s="15"/>
      <c r="Z53" s="15"/>
    </row>
    <row r="54">
      <c r="A54" s="42" t="s">
        <v>570</v>
      </c>
      <c r="B54" s="42" t="s">
        <v>571</v>
      </c>
      <c r="C54" s="43" t="s">
        <v>252</v>
      </c>
      <c r="D54" s="42"/>
      <c r="E54" s="42"/>
      <c r="F54" s="45" t="s">
        <v>572</v>
      </c>
      <c r="G54" s="42"/>
      <c r="H54" s="42"/>
      <c r="I54" s="42"/>
      <c r="J54" s="42"/>
      <c r="K54" s="42"/>
      <c r="L54" s="42"/>
      <c r="M54" s="42"/>
      <c r="N54" s="42"/>
      <c r="O54" s="42"/>
      <c r="P54" s="42"/>
      <c r="Q54" s="42"/>
      <c r="R54" s="42"/>
      <c r="S54" s="42"/>
      <c r="T54" s="42"/>
      <c r="U54" s="42"/>
      <c r="V54" s="42"/>
      <c r="W54" s="42"/>
      <c r="X54" s="42"/>
      <c r="Y54" s="42"/>
      <c r="Z54" s="42"/>
    </row>
    <row r="55">
      <c r="A55" s="7" t="s">
        <v>578</v>
      </c>
      <c r="B55" s="7" t="s">
        <v>579</v>
      </c>
      <c r="C55" s="13" t="s">
        <v>580</v>
      </c>
      <c r="D55" s="15" t="s">
        <v>581</v>
      </c>
      <c r="E55" s="7" t="s">
        <v>582</v>
      </c>
      <c r="F55" s="33" t="s">
        <v>583</v>
      </c>
      <c r="G55" s="7"/>
      <c r="H55" s="7"/>
      <c r="I55" s="7"/>
      <c r="J55" s="7"/>
      <c r="K55" s="7"/>
      <c r="L55" s="7"/>
      <c r="M55" s="7"/>
      <c r="N55" s="7"/>
      <c r="O55" s="7"/>
      <c r="P55" s="7"/>
      <c r="Q55" s="7"/>
      <c r="R55" s="7"/>
      <c r="S55" s="7"/>
      <c r="T55" s="7"/>
      <c r="U55" s="7"/>
      <c r="V55" s="7"/>
      <c r="W55" s="7"/>
      <c r="X55" s="7"/>
      <c r="Y55" s="7"/>
      <c r="Z55" s="7"/>
    </row>
    <row r="56">
      <c r="A56" s="7" t="s">
        <v>587</v>
      </c>
      <c r="B56" s="7" t="s">
        <v>588</v>
      </c>
      <c r="C56" s="13" t="s">
        <v>589</v>
      </c>
      <c r="D56" s="7"/>
      <c r="E56" s="7" t="s">
        <v>590</v>
      </c>
      <c r="F56" s="33" t="s">
        <v>591</v>
      </c>
      <c r="G56" s="7"/>
      <c r="H56" s="7"/>
      <c r="I56" s="7"/>
      <c r="J56" s="7"/>
      <c r="K56" s="7"/>
      <c r="L56" s="7"/>
      <c r="M56" s="7"/>
      <c r="N56" s="7"/>
      <c r="O56" s="7"/>
      <c r="P56" s="7"/>
      <c r="Q56" s="7"/>
      <c r="R56" s="7"/>
      <c r="S56" s="7"/>
      <c r="T56" s="7"/>
      <c r="U56" s="7"/>
      <c r="V56" s="7"/>
      <c r="W56" s="7"/>
      <c r="X56" s="7"/>
      <c r="Y56" s="7"/>
      <c r="Z56" s="7"/>
    </row>
    <row r="57">
      <c r="A57" s="7" t="s">
        <v>597</v>
      </c>
      <c r="B57" s="7" t="s">
        <v>427</v>
      </c>
      <c r="C57" s="13" t="s">
        <v>598</v>
      </c>
      <c r="D57" s="54">
        <f>919301264847</f>
        <v>919301264847</v>
      </c>
      <c r="E57" s="7" t="s">
        <v>603</v>
      </c>
      <c r="F57" s="33" t="s">
        <v>604</v>
      </c>
      <c r="G57" s="7"/>
      <c r="H57" s="7"/>
      <c r="I57" s="7"/>
      <c r="J57" s="7"/>
      <c r="K57" s="7"/>
      <c r="L57" s="7"/>
      <c r="M57" s="7"/>
      <c r="N57" s="7"/>
      <c r="O57" s="7"/>
      <c r="P57" s="7"/>
      <c r="Q57" s="7"/>
      <c r="R57" s="7"/>
      <c r="S57" s="7"/>
      <c r="T57" s="7"/>
      <c r="U57" s="7"/>
      <c r="V57" s="7"/>
      <c r="W57" s="7"/>
      <c r="X57" s="7"/>
      <c r="Y57" s="7"/>
      <c r="Z57" s="7"/>
    </row>
    <row r="58">
      <c r="A58" s="7" t="s">
        <v>609</v>
      </c>
      <c r="B58" s="7" t="s">
        <v>611</v>
      </c>
      <c r="C58" s="13" t="s">
        <v>612</v>
      </c>
      <c r="D58" s="7"/>
      <c r="E58" s="7" t="s">
        <v>582</v>
      </c>
      <c r="F58" s="33" t="s">
        <v>613</v>
      </c>
      <c r="G58" s="7"/>
      <c r="H58" s="7"/>
      <c r="I58" s="7"/>
      <c r="J58" s="7"/>
      <c r="K58" s="7"/>
      <c r="L58" s="7"/>
      <c r="M58" s="7"/>
      <c r="N58" s="7"/>
      <c r="O58" s="7"/>
      <c r="P58" s="7"/>
      <c r="Q58" s="7"/>
      <c r="R58" s="7"/>
      <c r="S58" s="7"/>
      <c r="T58" s="7"/>
      <c r="U58" s="7"/>
      <c r="V58" s="7"/>
      <c r="W58" s="7"/>
      <c r="X58" s="7"/>
      <c r="Y58" s="7"/>
      <c r="Z58" s="7"/>
    </row>
    <row r="59">
      <c r="A59" s="7" t="s">
        <v>614</v>
      </c>
      <c r="B59" s="7" t="s">
        <v>86</v>
      </c>
      <c r="C59" s="13" t="s">
        <v>616</v>
      </c>
      <c r="D59" s="55">
        <f>919845352549</f>
        <v>919845352549</v>
      </c>
      <c r="E59" s="7" t="s">
        <v>620</v>
      </c>
      <c r="F59" s="33" t="s">
        <v>621</v>
      </c>
      <c r="G59" s="7"/>
      <c r="H59" s="7"/>
      <c r="I59" s="7"/>
      <c r="J59" s="7"/>
      <c r="K59" s="7"/>
      <c r="L59" s="7"/>
      <c r="M59" s="7"/>
      <c r="N59" s="7"/>
      <c r="O59" s="7"/>
      <c r="P59" s="7"/>
      <c r="Q59" s="7"/>
      <c r="R59" s="7"/>
      <c r="S59" s="7"/>
      <c r="T59" s="7"/>
      <c r="U59" s="7"/>
      <c r="V59" s="7"/>
      <c r="W59" s="7"/>
      <c r="X59" s="7"/>
      <c r="Y59" s="7"/>
      <c r="Z59" s="7"/>
    </row>
    <row r="60">
      <c r="A60" s="7" t="s">
        <v>625</v>
      </c>
      <c r="B60" s="7" t="s">
        <v>211</v>
      </c>
      <c r="C60" s="13" t="s">
        <v>626</v>
      </c>
      <c r="D60" s="12">
        <f>918095119524</f>
        <v>918095119524</v>
      </c>
      <c r="E60" s="7"/>
      <c r="F60" s="33" t="s">
        <v>627</v>
      </c>
      <c r="G60" s="7"/>
      <c r="H60" s="7"/>
      <c r="I60" s="7"/>
      <c r="J60" s="7"/>
      <c r="K60" s="7"/>
      <c r="L60" s="7"/>
      <c r="M60" s="7"/>
      <c r="N60" s="7"/>
      <c r="O60" s="7"/>
      <c r="P60" s="7"/>
      <c r="Q60" s="7"/>
      <c r="R60" s="7"/>
      <c r="S60" s="7"/>
      <c r="T60" s="7"/>
      <c r="U60" s="7"/>
      <c r="V60" s="7"/>
      <c r="W60" s="7"/>
      <c r="X60" s="7"/>
      <c r="Y60" s="7"/>
      <c r="Z60" s="7"/>
    </row>
    <row r="61">
      <c r="A61" s="7" t="s">
        <v>347</v>
      </c>
      <c r="B61" s="7" t="s">
        <v>348</v>
      </c>
      <c r="C61" s="13" t="s">
        <v>632</v>
      </c>
      <c r="D61" s="12">
        <f>919945874202</f>
        <v>919945874202</v>
      </c>
      <c r="E61" s="7"/>
      <c r="F61" s="7"/>
      <c r="G61" s="7"/>
      <c r="H61" s="7"/>
      <c r="I61" s="7"/>
      <c r="J61" s="7"/>
      <c r="K61" s="7"/>
      <c r="L61" s="7"/>
      <c r="M61" s="7"/>
      <c r="N61" s="7"/>
      <c r="O61" s="7"/>
      <c r="P61" s="7"/>
      <c r="Q61" s="7"/>
      <c r="R61" s="7"/>
      <c r="S61" s="7"/>
      <c r="T61" s="7"/>
      <c r="U61" s="7"/>
      <c r="V61" s="7"/>
      <c r="W61" s="7"/>
      <c r="X61" s="7"/>
      <c r="Y61" s="7"/>
      <c r="Z61" s="7"/>
    </row>
    <row r="62">
      <c r="A62" s="7" t="s">
        <v>633</v>
      </c>
      <c r="B62" s="7" t="s">
        <v>550</v>
      </c>
      <c r="C62" s="13" t="s">
        <v>634</v>
      </c>
      <c r="D62" s="12">
        <f>916173922900</f>
        <v>916173922900</v>
      </c>
      <c r="E62" s="7"/>
      <c r="F62" s="33" t="s">
        <v>638</v>
      </c>
      <c r="G62" s="7"/>
      <c r="H62" s="7"/>
      <c r="I62" s="7"/>
      <c r="J62" s="7"/>
      <c r="K62" s="7"/>
      <c r="L62" s="7"/>
      <c r="M62" s="7"/>
      <c r="N62" s="7"/>
      <c r="O62" s="7"/>
      <c r="P62" s="7"/>
      <c r="Q62" s="7"/>
      <c r="R62" s="7"/>
      <c r="S62" s="7"/>
      <c r="T62" s="7"/>
      <c r="U62" s="7"/>
      <c r="V62" s="7"/>
      <c r="W62" s="7"/>
      <c r="X62" s="7"/>
      <c r="Y62" s="7"/>
      <c r="Z62" s="7"/>
    </row>
    <row r="63">
      <c r="A63" s="7" t="s">
        <v>641</v>
      </c>
      <c r="B63" s="7" t="s">
        <v>642</v>
      </c>
      <c r="C63" s="13" t="s">
        <v>643</v>
      </c>
      <c r="D63" s="12">
        <f>919949497876</f>
        <v>919949497876</v>
      </c>
      <c r="E63" s="7" t="s">
        <v>644</v>
      </c>
      <c r="F63" s="33" t="s">
        <v>645</v>
      </c>
      <c r="G63" s="7"/>
      <c r="H63" s="7"/>
      <c r="I63" s="7"/>
      <c r="J63" s="7"/>
      <c r="K63" s="7"/>
      <c r="L63" s="7"/>
      <c r="M63" s="7"/>
      <c r="N63" s="7"/>
      <c r="O63" s="7"/>
      <c r="P63" s="7"/>
      <c r="Q63" s="7"/>
      <c r="R63" s="7"/>
      <c r="S63" s="7"/>
      <c r="T63" s="7"/>
      <c r="U63" s="7"/>
      <c r="V63" s="7"/>
      <c r="W63" s="7"/>
      <c r="X63" s="7"/>
      <c r="Y63" s="7"/>
      <c r="Z63" s="7"/>
    </row>
    <row r="64">
      <c r="A64" s="7" t="s">
        <v>649</v>
      </c>
      <c r="B64" s="7" t="s">
        <v>650</v>
      </c>
      <c r="C64" s="13" t="s">
        <v>651</v>
      </c>
      <c r="D64" s="13" t="s">
        <v>652</v>
      </c>
      <c r="E64" s="7" t="s">
        <v>653</v>
      </c>
      <c r="F64" s="33" t="s">
        <v>654</v>
      </c>
      <c r="G64" s="7"/>
      <c r="H64" s="7"/>
      <c r="I64" s="7"/>
      <c r="J64" s="7"/>
      <c r="K64" s="7"/>
      <c r="L64" s="7"/>
      <c r="M64" s="7"/>
      <c r="N64" s="7"/>
      <c r="O64" s="7"/>
      <c r="P64" s="7"/>
      <c r="Q64" s="7"/>
      <c r="R64" s="7"/>
      <c r="S64" s="7"/>
      <c r="T64" s="7"/>
      <c r="U64" s="7"/>
      <c r="V64" s="7"/>
      <c r="W64" s="7"/>
      <c r="X64" s="7"/>
      <c r="Y64" s="7"/>
      <c r="Z64" s="7"/>
    </row>
    <row r="65">
      <c r="A65" s="7" t="s">
        <v>659</v>
      </c>
      <c r="B65" s="7" t="s">
        <v>660</v>
      </c>
      <c r="C65" s="13" t="s">
        <v>203</v>
      </c>
      <c r="D65" s="13" t="s">
        <v>661</v>
      </c>
      <c r="E65" s="7"/>
      <c r="F65" s="33" t="s">
        <v>662</v>
      </c>
      <c r="G65" s="7"/>
      <c r="H65" s="7"/>
      <c r="I65" s="7"/>
      <c r="J65" s="7"/>
      <c r="K65" s="7"/>
      <c r="L65" s="7"/>
      <c r="M65" s="7"/>
      <c r="N65" s="7"/>
      <c r="O65" s="7"/>
      <c r="P65" s="7"/>
      <c r="Q65" s="7"/>
      <c r="R65" s="7"/>
      <c r="S65" s="7"/>
      <c r="T65" s="7"/>
      <c r="U65" s="7"/>
      <c r="V65" s="7"/>
      <c r="W65" s="7"/>
      <c r="X65" s="7"/>
      <c r="Y65" s="7"/>
      <c r="Z65" s="7"/>
    </row>
    <row r="66">
      <c r="A66" s="7" t="s">
        <v>667</v>
      </c>
      <c r="B66" s="7" t="s">
        <v>668</v>
      </c>
      <c r="C66" s="13" t="s">
        <v>669</v>
      </c>
      <c r="D66" s="12">
        <f>919313717770</f>
        <v>919313717770</v>
      </c>
      <c r="E66" s="7"/>
      <c r="F66" s="33" t="s">
        <v>671</v>
      </c>
      <c r="G66" s="7"/>
      <c r="H66" s="7"/>
      <c r="I66" s="7"/>
      <c r="J66" s="7"/>
      <c r="K66" s="7"/>
      <c r="L66" s="7"/>
      <c r="M66" s="7"/>
      <c r="N66" s="7"/>
      <c r="O66" s="7"/>
      <c r="P66" s="7"/>
      <c r="Q66" s="7"/>
      <c r="R66" s="7"/>
      <c r="S66" s="7"/>
      <c r="T66" s="7"/>
      <c r="U66" s="7"/>
      <c r="V66" s="7"/>
      <c r="W66" s="7"/>
      <c r="X66" s="7"/>
      <c r="Y66" s="7"/>
      <c r="Z66" s="7"/>
    </row>
    <row r="67">
      <c r="A67" s="7" t="s">
        <v>681</v>
      </c>
      <c r="B67" s="7" t="s">
        <v>682</v>
      </c>
      <c r="C67" s="13" t="s">
        <v>683</v>
      </c>
      <c r="D67" s="7"/>
      <c r="E67" s="7"/>
      <c r="F67" s="33" t="s">
        <v>684</v>
      </c>
      <c r="G67" s="7"/>
      <c r="H67" s="7"/>
      <c r="I67" s="7"/>
      <c r="J67" s="7"/>
      <c r="K67" s="7"/>
      <c r="L67" s="7"/>
      <c r="M67" s="7"/>
      <c r="N67" s="7"/>
      <c r="O67" s="7"/>
      <c r="P67" s="7"/>
      <c r="Q67" s="7"/>
      <c r="R67" s="7"/>
      <c r="S67" s="7"/>
      <c r="T67" s="7"/>
      <c r="U67" s="7"/>
      <c r="V67" s="7"/>
      <c r="W67" s="7"/>
      <c r="X67" s="7"/>
      <c r="Y67" s="7"/>
      <c r="Z67" s="7"/>
    </row>
    <row r="68">
      <c r="A68" s="7" t="s">
        <v>689</v>
      </c>
      <c r="B68" s="7" t="s">
        <v>690</v>
      </c>
      <c r="C68" s="7"/>
      <c r="D68" s="12">
        <f>19174598851</f>
        <v>19174598851</v>
      </c>
      <c r="E68" s="7"/>
      <c r="F68" s="33" t="s">
        <v>692</v>
      </c>
      <c r="G68" s="7"/>
      <c r="H68" s="7"/>
      <c r="I68" s="7"/>
      <c r="J68" s="7"/>
      <c r="K68" s="7"/>
      <c r="L68" s="7"/>
      <c r="M68" s="7"/>
      <c r="N68" s="7"/>
      <c r="O68" s="7"/>
      <c r="P68" s="7"/>
      <c r="Q68" s="7"/>
      <c r="R68" s="7"/>
      <c r="S68" s="7"/>
      <c r="T68" s="7"/>
      <c r="U68" s="7"/>
      <c r="V68" s="7"/>
      <c r="W68" s="7"/>
      <c r="X68" s="7"/>
      <c r="Y68" s="7"/>
      <c r="Z68" s="7"/>
    </row>
    <row r="69">
      <c r="A69" s="9" t="s">
        <v>698</v>
      </c>
      <c r="B69" s="9" t="s">
        <v>699</v>
      </c>
      <c r="C69" s="13" t="s">
        <v>252</v>
      </c>
      <c r="D69" s="7"/>
      <c r="E69" s="7"/>
      <c r="F69" s="16" t="s">
        <v>700</v>
      </c>
      <c r="G69" s="7"/>
      <c r="H69" s="7"/>
      <c r="I69" s="7"/>
      <c r="J69" s="7"/>
      <c r="K69" s="7"/>
      <c r="L69" s="7"/>
      <c r="M69" s="7"/>
      <c r="N69" s="7"/>
      <c r="O69" s="7"/>
      <c r="P69" s="7"/>
      <c r="Q69" s="7"/>
      <c r="R69" s="7"/>
      <c r="S69" s="7"/>
      <c r="T69" s="7"/>
      <c r="U69" s="7"/>
      <c r="V69" s="7"/>
      <c r="W69" s="7"/>
      <c r="X69" s="7"/>
      <c r="Y69" s="7"/>
      <c r="Z69" s="7"/>
    </row>
    <row r="70">
      <c r="A70" s="56"/>
      <c r="B70" s="56"/>
      <c r="C70" s="56"/>
      <c r="D70" s="7"/>
      <c r="E70" s="7"/>
      <c r="F70" s="7"/>
      <c r="G70" s="7"/>
      <c r="H70" s="7"/>
      <c r="I70" s="7"/>
      <c r="J70" s="7"/>
      <c r="K70" s="7"/>
      <c r="L70" s="7"/>
      <c r="M70" s="7"/>
      <c r="N70" s="7"/>
      <c r="O70" s="7"/>
      <c r="P70" s="7"/>
      <c r="Q70" s="7"/>
      <c r="R70" s="7"/>
      <c r="S70" s="7"/>
      <c r="T70" s="7"/>
      <c r="U70" s="7"/>
      <c r="V70" s="7"/>
      <c r="W70" s="7"/>
      <c r="X70" s="7"/>
      <c r="Y70" s="7"/>
      <c r="Z70" s="7"/>
    </row>
    <row r="71">
      <c r="A71" s="56"/>
      <c r="B71" s="56"/>
      <c r="C71" s="56"/>
      <c r="D71" s="7"/>
      <c r="E71" s="7"/>
      <c r="F71" s="7"/>
      <c r="G71" s="7"/>
      <c r="H71" s="7"/>
      <c r="I71" s="7"/>
      <c r="J71" s="7"/>
      <c r="K71" s="7"/>
      <c r="L71" s="7"/>
      <c r="M71" s="7"/>
      <c r="N71" s="7"/>
      <c r="O71" s="7"/>
      <c r="P71" s="7"/>
      <c r="Q71" s="7"/>
      <c r="R71" s="7"/>
      <c r="S71" s="7"/>
      <c r="T71" s="7"/>
      <c r="U71" s="7"/>
      <c r="V71" s="7"/>
      <c r="W71" s="7"/>
      <c r="X71" s="7"/>
      <c r="Y71" s="7"/>
      <c r="Z71" s="7"/>
    </row>
    <row r="72">
      <c r="A72" s="56" t="s">
        <v>707</v>
      </c>
      <c r="B72" s="56" t="s">
        <v>708</v>
      </c>
      <c r="C72" s="56" t="s">
        <v>709</v>
      </c>
      <c r="D72" s="7"/>
      <c r="E72" s="7"/>
      <c r="F72" s="7"/>
      <c r="G72" s="7"/>
      <c r="H72" s="7"/>
      <c r="I72" s="7"/>
      <c r="J72" s="7"/>
      <c r="K72" s="7"/>
      <c r="L72" s="7"/>
      <c r="M72" s="7"/>
      <c r="N72" s="7"/>
      <c r="O72" s="7"/>
      <c r="P72" s="7"/>
      <c r="Q72" s="7"/>
      <c r="R72" s="7"/>
      <c r="S72" s="7"/>
      <c r="T72" s="7"/>
      <c r="U72" s="7"/>
      <c r="V72" s="7"/>
      <c r="W72" s="7"/>
      <c r="X72" s="7"/>
      <c r="Y72" s="7"/>
      <c r="Z72" s="7"/>
    </row>
    <row r="73">
      <c r="A73" s="56" t="s">
        <v>710</v>
      </c>
      <c r="B73" s="56" t="s">
        <v>711</v>
      </c>
      <c r="C73" s="56" t="s">
        <v>712</v>
      </c>
      <c r="D73" s="7"/>
      <c r="E73" s="7"/>
      <c r="F73" s="7"/>
      <c r="G73" s="7"/>
      <c r="H73" s="7"/>
      <c r="I73" s="7"/>
      <c r="J73" s="7"/>
      <c r="K73" s="7"/>
      <c r="L73" s="7"/>
      <c r="M73" s="7"/>
      <c r="N73" s="7"/>
      <c r="O73" s="7"/>
      <c r="P73" s="7"/>
      <c r="Q73" s="7"/>
      <c r="R73" s="7"/>
      <c r="S73" s="7"/>
      <c r="T73" s="7"/>
      <c r="U73" s="7"/>
      <c r="V73" s="7"/>
      <c r="W73" s="7"/>
      <c r="X73" s="7"/>
      <c r="Y73" s="7"/>
      <c r="Z73" s="7"/>
    </row>
    <row r="74">
      <c r="A74" s="56" t="s">
        <v>713</v>
      </c>
      <c r="B74" s="56" t="s">
        <v>714</v>
      </c>
      <c r="C74" s="56" t="s">
        <v>252</v>
      </c>
      <c r="D74" s="7"/>
      <c r="E74" s="7"/>
      <c r="F74" s="7"/>
      <c r="G74" s="7"/>
      <c r="H74" s="7"/>
      <c r="I74" s="7"/>
      <c r="J74" s="7"/>
      <c r="K74" s="7"/>
      <c r="L74" s="7"/>
      <c r="M74" s="7"/>
      <c r="N74" s="7"/>
      <c r="O74" s="7"/>
      <c r="P74" s="7"/>
      <c r="Q74" s="7"/>
      <c r="R74" s="7"/>
      <c r="S74" s="7"/>
      <c r="T74" s="7"/>
      <c r="U74" s="7"/>
      <c r="V74" s="7"/>
      <c r="W74" s="7"/>
      <c r="X74" s="7"/>
      <c r="Y74" s="7"/>
      <c r="Z74" s="7"/>
    </row>
    <row r="75">
      <c r="A75" s="56" t="s">
        <v>719</v>
      </c>
      <c r="B75" s="56" t="s">
        <v>720</v>
      </c>
      <c r="C75" s="56" t="s">
        <v>51</v>
      </c>
      <c r="D75" s="7"/>
      <c r="E75" s="7"/>
      <c r="F75" s="7"/>
      <c r="G75" s="7"/>
      <c r="H75" s="7"/>
      <c r="I75" s="7"/>
      <c r="J75" s="7"/>
      <c r="K75" s="7"/>
      <c r="L75" s="7"/>
      <c r="M75" s="7"/>
      <c r="N75" s="7"/>
      <c r="O75" s="7"/>
      <c r="P75" s="7"/>
      <c r="Q75" s="7"/>
      <c r="R75" s="7"/>
      <c r="S75" s="7"/>
      <c r="T75" s="7"/>
      <c r="U75" s="7"/>
      <c r="V75" s="7"/>
      <c r="W75" s="7"/>
      <c r="X75" s="7"/>
      <c r="Y75" s="7"/>
      <c r="Z75" s="7"/>
    </row>
    <row r="76">
      <c r="A76" s="56" t="s">
        <v>721</v>
      </c>
      <c r="B76" s="56" t="s">
        <v>722</v>
      </c>
      <c r="C76" s="56" t="s">
        <v>723</v>
      </c>
      <c r="D76" s="7"/>
      <c r="E76" s="7"/>
      <c r="F76" s="7"/>
      <c r="G76" s="7"/>
      <c r="H76" s="7"/>
      <c r="I76" s="7"/>
      <c r="J76" s="7"/>
      <c r="K76" s="7"/>
      <c r="L76" s="7"/>
      <c r="M76" s="7"/>
      <c r="N76" s="7"/>
      <c r="O76" s="7"/>
      <c r="P76" s="7"/>
      <c r="Q76" s="7"/>
      <c r="R76" s="7"/>
      <c r="S76" s="7"/>
      <c r="T76" s="7"/>
      <c r="U76" s="7"/>
      <c r="V76" s="7"/>
      <c r="W76" s="7"/>
      <c r="X76" s="7"/>
      <c r="Y76" s="7"/>
      <c r="Z76" s="7"/>
    </row>
    <row r="77">
      <c r="A77" s="56" t="s">
        <v>724</v>
      </c>
      <c r="B77" s="56" t="s">
        <v>726</v>
      </c>
      <c r="C77" s="56" t="s">
        <v>728</v>
      </c>
      <c r="D77" s="7"/>
      <c r="E77" s="7"/>
      <c r="F77" s="7"/>
      <c r="G77" s="7"/>
      <c r="H77" s="7"/>
      <c r="I77" s="7"/>
      <c r="J77" s="7"/>
      <c r="K77" s="7"/>
      <c r="L77" s="7"/>
      <c r="M77" s="7"/>
      <c r="N77" s="7"/>
      <c r="O77" s="7"/>
      <c r="P77" s="7"/>
      <c r="Q77" s="7"/>
      <c r="R77" s="7"/>
      <c r="S77" s="7"/>
      <c r="T77" s="7"/>
      <c r="U77" s="7"/>
      <c r="V77" s="7"/>
      <c r="W77" s="7"/>
      <c r="X77" s="7"/>
      <c r="Y77" s="7"/>
      <c r="Z77" s="7"/>
    </row>
    <row r="78">
      <c r="A78" s="56" t="s">
        <v>730</v>
      </c>
      <c r="B78" s="56" t="s">
        <v>731</v>
      </c>
      <c r="C78" s="56" t="s">
        <v>51</v>
      </c>
      <c r="D78" s="7"/>
      <c r="E78" s="7"/>
      <c r="F78" s="7"/>
      <c r="G78" s="7"/>
      <c r="H78" s="7"/>
      <c r="I78" s="7"/>
      <c r="J78" s="7"/>
      <c r="K78" s="7"/>
      <c r="L78" s="7"/>
      <c r="M78" s="7"/>
      <c r="N78" s="7"/>
      <c r="O78" s="7"/>
      <c r="P78" s="7"/>
      <c r="Q78" s="7"/>
      <c r="R78" s="7"/>
      <c r="S78" s="7"/>
      <c r="T78" s="7"/>
      <c r="U78" s="7"/>
      <c r="V78" s="7"/>
      <c r="W78" s="7"/>
      <c r="X78" s="7"/>
      <c r="Y78" s="7"/>
      <c r="Z78" s="7"/>
    </row>
    <row r="79">
      <c r="A79" s="56" t="s">
        <v>732</v>
      </c>
      <c r="B79" s="56" t="s">
        <v>733</v>
      </c>
      <c r="C79" s="56" t="s">
        <v>51</v>
      </c>
      <c r="D79" s="7"/>
      <c r="E79" s="7"/>
      <c r="F79" s="7"/>
      <c r="G79" s="7"/>
      <c r="H79" s="7"/>
      <c r="I79" s="7"/>
      <c r="J79" s="7"/>
      <c r="K79" s="7"/>
      <c r="L79" s="7"/>
      <c r="M79" s="7"/>
      <c r="N79" s="7"/>
      <c r="O79" s="7"/>
      <c r="P79" s="7"/>
      <c r="Q79" s="7"/>
      <c r="R79" s="7"/>
      <c r="S79" s="7"/>
      <c r="T79" s="7"/>
      <c r="U79" s="7"/>
      <c r="V79" s="7"/>
      <c r="W79" s="7"/>
      <c r="X79" s="7"/>
      <c r="Y79" s="7"/>
      <c r="Z79" s="7"/>
    </row>
    <row r="80">
      <c r="A80" s="56" t="s">
        <v>529</v>
      </c>
      <c r="B80" s="56" t="s">
        <v>735</v>
      </c>
      <c r="C80" s="56" t="s">
        <v>737</v>
      </c>
      <c r="D80" s="7"/>
      <c r="E80" s="7"/>
      <c r="F80" s="7"/>
      <c r="G80" s="7"/>
      <c r="H80" s="7"/>
      <c r="I80" s="7"/>
      <c r="J80" s="7"/>
      <c r="K80" s="7"/>
      <c r="L80" s="7"/>
      <c r="M80" s="7"/>
      <c r="N80" s="7"/>
      <c r="O80" s="7"/>
      <c r="P80" s="7"/>
      <c r="Q80" s="7"/>
      <c r="R80" s="7"/>
      <c r="S80" s="7"/>
      <c r="T80" s="7"/>
      <c r="U80" s="7"/>
      <c r="V80" s="7"/>
      <c r="W80" s="7"/>
      <c r="X80" s="7"/>
      <c r="Y80" s="7"/>
      <c r="Z80" s="7"/>
    </row>
    <row r="81">
      <c r="A81" s="56" t="s">
        <v>738</v>
      </c>
      <c r="B81" s="56" t="s">
        <v>65</v>
      </c>
      <c r="C81" s="56" t="s">
        <v>739</v>
      </c>
      <c r="D81" s="7"/>
      <c r="E81" s="7"/>
      <c r="F81" s="33" t="s">
        <v>740</v>
      </c>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t="s">
        <v>747</v>
      </c>
      <c r="B83" s="7" t="s">
        <v>748</v>
      </c>
      <c r="C83" s="13" t="s">
        <v>749</v>
      </c>
      <c r="D83" s="7"/>
      <c r="E83" s="7"/>
      <c r="F83" s="33" t="s">
        <v>750</v>
      </c>
      <c r="G83" s="7"/>
      <c r="H83" s="7"/>
      <c r="I83" s="7"/>
      <c r="J83" s="7"/>
      <c r="K83" s="7"/>
      <c r="L83" s="7"/>
      <c r="M83" s="7"/>
      <c r="N83" s="7"/>
      <c r="O83" s="7"/>
      <c r="P83" s="7"/>
      <c r="Q83" s="7"/>
      <c r="R83" s="7"/>
      <c r="S83" s="7"/>
      <c r="T83" s="7"/>
      <c r="U83" s="7"/>
      <c r="V83" s="7"/>
      <c r="W83" s="7"/>
      <c r="X83" s="7"/>
      <c r="Y83" s="7"/>
      <c r="Z83" s="7"/>
    </row>
    <row r="84">
      <c r="A84" s="15" t="s">
        <v>755</v>
      </c>
      <c r="B84" s="15" t="s">
        <v>756</v>
      </c>
      <c r="C84" s="22" t="s">
        <v>757</v>
      </c>
      <c r="D84" s="57">
        <v>9.19845344321E11</v>
      </c>
      <c r="E84" s="15"/>
      <c r="F84" s="35" t="s">
        <v>764</v>
      </c>
      <c r="G84" s="15" t="s">
        <v>771</v>
      </c>
      <c r="H84" s="15"/>
      <c r="I84" s="15"/>
      <c r="J84" s="15"/>
      <c r="K84" s="15"/>
      <c r="L84" s="15"/>
      <c r="M84" s="15"/>
      <c r="N84" s="15"/>
      <c r="O84" s="15"/>
      <c r="P84" s="15"/>
      <c r="Q84" s="15"/>
      <c r="R84" s="15"/>
      <c r="S84" s="15"/>
      <c r="T84" s="15"/>
      <c r="U84" s="15"/>
      <c r="V84" s="15"/>
      <c r="W84" s="15"/>
      <c r="X84" s="15"/>
      <c r="Y84" s="15"/>
      <c r="Z84" s="15"/>
    </row>
    <row r="85">
      <c r="A85" s="7"/>
      <c r="B85" s="7"/>
      <c r="C85" s="7"/>
      <c r="D85" s="17"/>
      <c r="E85" s="7"/>
      <c r="F85" s="7"/>
      <c r="G85" s="7"/>
      <c r="H85" s="7"/>
      <c r="I85" s="7"/>
      <c r="J85" s="7"/>
      <c r="K85" s="7"/>
      <c r="L85" s="7"/>
      <c r="M85" s="7"/>
      <c r="N85" s="7"/>
      <c r="O85" s="7"/>
      <c r="P85" s="7"/>
      <c r="Q85" s="7"/>
      <c r="R85" s="7"/>
      <c r="S85" s="7"/>
      <c r="T85" s="7"/>
      <c r="U85" s="7"/>
      <c r="V85" s="7"/>
      <c r="W85" s="7"/>
      <c r="X85" s="7"/>
      <c r="Y85" s="7"/>
      <c r="Z85" s="7"/>
    </row>
    <row r="86">
      <c r="A86" s="7"/>
      <c r="B86" s="7"/>
      <c r="C86" s="7"/>
      <c r="D86" s="1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t="s">
        <v>775</v>
      </c>
      <c r="B88" s="7" t="s">
        <v>776</v>
      </c>
      <c r="C88" s="13" t="s">
        <v>777</v>
      </c>
      <c r="D88" s="58">
        <f>+917760000330</f>
        <v>917760000330</v>
      </c>
      <c r="E88" s="7"/>
      <c r="F88" s="33" t="s">
        <v>782</v>
      </c>
      <c r="G88" s="7"/>
      <c r="H88" s="7"/>
      <c r="I88" s="7"/>
      <c r="J88" s="7"/>
      <c r="K88" s="7"/>
      <c r="L88" s="7"/>
      <c r="M88" s="7"/>
      <c r="N88" s="7"/>
      <c r="O88" s="7"/>
      <c r="P88" s="7"/>
      <c r="Q88" s="7"/>
      <c r="R88" s="7"/>
      <c r="S88" s="7"/>
      <c r="T88" s="7"/>
      <c r="U88" s="7"/>
      <c r="V88" s="7"/>
      <c r="W88" s="7"/>
      <c r="X88" s="7"/>
      <c r="Y88" s="7"/>
      <c r="Z88" s="7"/>
    </row>
    <row r="89">
      <c r="A89" s="7" t="s">
        <v>784</v>
      </c>
      <c r="B89" s="7" t="s">
        <v>785</v>
      </c>
      <c r="C89" s="13" t="s">
        <v>51</v>
      </c>
      <c r="D89" s="58">
        <f>+919702249992</f>
        <v>919702249992</v>
      </c>
      <c r="E89" s="7"/>
      <c r="F89" s="33" t="s">
        <v>788</v>
      </c>
      <c r="G89" s="7"/>
      <c r="H89" s="7"/>
      <c r="I89" s="7"/>
      <c r="J89" s="7"/>
      <c r="K89" s="7"/>
      <c r="L89" s="7"/>
      <c r="M89" s="7"/>
      <c r="N89" s="7"/>
      <c r="O89" s="7"/>
      <c r="P89" s="7"/>
      <c r="Q89" s="7"/>
      <c r="R89" s="7"/>
      <c r="S89" s="7"/>
      <c r="T89" s="7"/>
      <c r="U89" s="7"/>
      <c r="V89" s="7"/>
      <c r="W89" s="7"/>
      <c r="X89" s="7"/>
      <c r="Y89" s="7"/>
      <c r="Z89" s="7"/>
    </row>
    <row r="90">
      <c r="A90" s="7" t="s">
        <v>792</v>
      </c>
      <c r="B90" s="7" t="s">
        <v>793</v>
      </c>
      <c r="C90" s="13" t="s">
        <v>794</v>
      </c>
      <c r="D90" s="58">
        <f>+919819393551</f>
        <v>919819393551</v>
      </c>
      <c r="E90" s="7"/>
      <c r="F90" s="33" t="s">
        <v>795</v>
      </c>
      <c r="G90" s="7"/>
      <c r="H90" s="7"/>
      <c r="I90" s="7"/>
      <c r="J90" s="7"/>
      <c r="K90" s="7"/>
      <c r="L90" s="7"/>
      <c r="M90" s="7"/>
      <c r="N90" s="7"/>
      <c r="O90" s="7"/>
      <c r="P90" s="7"/>
      <c r="Q90" s="7"/>
      <c r="R90" s="7"/>
      <c r="S90" s="7"/>
      <c r="T90" s="7"/>
      <c r="U90" s="7"/>
      <c r="V90" s="7"/>
      <c r="W90" s="7"/>
      <c r="X90" s="7"/>
      <c r="Y90" s="7"/>
      <c r="Z90" s="7"/>
    </row>
    <row r="91">
      <c r="A91" s="15" t="s">
        <v>801</v>
      </c>
      <c r="B91" s="7" t="s">
        <v>802</v>
      </c>
      <c r="C91" s="13" t="s">
        <v>803</v>
      </c>
      <c r="D91" s="58">
        <f>+919890700267</f>
        <v>919890700267</v>
      </c>
      <c r="E91" s="7"/>
      <c r="F91" s="33" t="s">
        <v>804</v>
      </c>
      <c r="G91" s="7"/>
      <c r="H91" s="7"/>
      <c r="I91" s="7"/>
      <c r="J91" s="7"/>
      <c r="K91" s="7"/>
      <c r="L91" s="7"/>
      <c r="M91" s="7"/>
      <c r="N91" s="7"/>
      <c r="O91" s="7"/>
      <c r="P91" s="7"/>
      <c r="Q91" s="7"/>
      <c r="R91" s="7"/>
      <c r="S91" s="7"/>
      <c r="T91" s="7"/>
      <c r="U91" s="7"/>
      <c r="V91" s="7"/>
      <c r="W91" s="7"/>
      <c r="X91" s="7"/>
      <c r="Y91" s="7"/>
      <c r="Z91" s="7"/>
    </row>
    <row r="92">
      <c r="A92" s="7"/>
      <c r="B92" s="7" t="s">
        <v>808</v>
      </c>
      <c r="C92" s="7"/>
      <c r="D92" s="7"/>
      <c r="E92" s="7"/>
      <c r="F92" s="7"/>
      <c r="G92" s="7"/>
      <c r="H92" s="7"/>
      <c r="I92" s="7"/>
      <c r="J92" s="7"/>
      <c r="K92" s="7"/>
      <c r="L92" s="7"/>
      <c r="M92" s="7"/>
      <c r="N92" s="7"/>
      <c r="O92" s="7"/>
      <c r="P92" s="7"/>
      <c r="Q92" s="7"/>
      <c r="R92" s="7"/>
      <c r="S92" s="7"/>
      <c r="T92" s="7"/>
      <c r="U92" s="7"/>
      <c r="V92" s="7"/>
      <c r="W92" s="7"/>
      <c r="X92" s="7"/>
      <c r="Y92" s="7"/>
      <c r="Z92" s="7"/>
    </row>
    <row r="93">
      <c r="A93" s="7" t="s">
        <v>809</v>
      </c>
      <c r="B93" s="7" t="s">
        <v>694</v>
      </c>
      <c r="C93" s="13" t="s">
        <v>810</v>
      </c>
      <c r="D93" s="7"/>
      <c r="E93" s="7"/>
      <c r="F93" s="33" t="s">
        <v>811</v>
      </c>
      <c r="G93" s="7"/>
      <c r="H93" s="7"/>
      <c r="I93" s="7"/>
      <c r="J93" s="7"/>
      <c r="K93" s="7"/>
      <c r="L93" s="7"/>
      <c r="M93" s="7"/>
      <c r="N93" s="7"/>
      <c r="O93" s="7"/>
      <c r="P93" s="7"/>
      <c r="Q93" s="7"/>
      <c r="R93" s="7"/>
      <c r="S93" s="7"/>
      <c r="T93" s="7"/>
      <c r="U93" s="7"/>
      <c r="V93" s="7"/>
      <c r="W93" s="7"/>
      <c r="X93" s="7"/>
      <c r="Y93" s="7"/>
      <c r="Z93" s="7"/>
    </row>
    <row r="94">
      <c r="A94" s="7"/>
      <c r="B94" s="7" t="s">
        <v>816</v>
      </c>
      <c r="C94" s="7"/>
      <c r="D94" s="7"/>
      <c r="E94" s="7"/>
      <c r="F94" s="7"/>
      <c r="G94" s="7"/>
      <c r="H94" s="7"/>
      <c r="I94" s="7"/>
      <c r="J94" s="7"/>
      <c r="K94" s="7"/>
      <c r="L94" s="7"/>
      <c r="M94" s="7"/>
      <c r="N94" s="7"/>
      <c r="O94" s="7"/>
      <c r="P94" s="7"/>
      <c r="Q94" s="7"/>
      <c r="R94" s="7"/>
      <c r="S94" s="7"/>
      <c r="T94" s="7"/>
      <c r="U94" s="7"/>
      <c r="V94" s="7"/>
      <c r="W94" s="7"/>
      <c r="X94" s="7"/>
      <c r="Y94" s="7"/>
      <c r="Z94" s="7"/>
    </row>
    <row r="95">
      <c r="A95" s="15" t="s">
        <v>817</v>
      </c>
      <c r="B95" s="15" t="s">
        <v>818</v>
      </c>
      <c r="C95" s="22" t="s">
        <v>819</v>
      </c>
      <c r="D95" s="23">
        <f>919008955449</f>
        <v>919008955449</v>
      </c>
      <c r="E95" s="15"/>
      <c r="F95" s="35" t="s">
        <v>820</v>
      </c>
      <c r="G95" s="15"/>
      <c r="H95" s="15"/>
      <c r="I95" s="15"/>
      <c r="J95" s="15"/>
      <c r="K95" s="15"/>
      <c r="L95" s="15"/>
      <c r="M95" s="15"/>
      <c r="N95" s="15"/>
      <c r="O95" s="15"/>
      <c r="P95" s="15"/>
      <c r="Q95" s="15"/>
      <c r="R95" s="15"/>
      <c r="S95" s="15"/>
      <c r="T95" s="15"/>
      <c r="U95" s="15"/>
      <c r="V95" s="15"/>
      <c r="W95" s="15"/>
      <c r="X95" s="15"/>
      <c r="Y95" s="15"/>
      <c r="Z95" s="15"/>
    </row>
    <row r="96">
      <c r="A96" s="7" t="s">
        <v>826</v>
      </c>
      <c r="B96" s="7" t="s">
        <v>827</v>
      </c>
      <c r="C96" s="13" t="s">
        <v>828</v>
      </c>
      <c r="D96" s="12">
        <f>919945126087</f>
        <v>919945126087</v>
      </c>
      <c r="E96" s="7"/>
      <c r="F96" s="33" t="s">
        <v>829</v>
      </c>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t="s">
        <v>834</v>
      </c>
      <c r="B98" s="15" t="s">
        <v>835</v>
      </c>
      <c r="C98" s="7" t="s">
        <v>836</v>
      </c>
      <c r="D98" s="13" t="s">
        <v>837</v>
      </c>
      <c r="E98" s="7"/>
      <c r="F98" s="33" t="s">
        <v>838</v>
      </c>
      <c r="G98" s="7"/>
      <c r="H98" s="7"/>
      <c r="I98" s="7"/>
      <c r="J98" s="7"/>
      <c r="K98" s="7"/>
      <c r="L98" s="7"/>
      <c r="M98" s="7"/>
      <c r="N98" s="7"/>
      <c r="O98" s="7"/>
      <c r="P98" s="7"/>
      <c r="Q98" s="7"/>
      <c r="R98" s="7"/>
      <c r="S98" s="7"/>
      <c r="T98" s="7"/>
      <c r="U98" s="7"/>
      <c r="V98" s="7"/>
      <c r="W98" s="7"/>
      <c r="X98" s="7"/>
      <c r="Y98" s="7"/>
      <c r="Z98" s="7"/>
    </row>
    <row r="99">
      <c r="A99" s="15" t="s">
        <v>839</v>
      </c>
      <c r="B99" s="15" t="s">
        <v>840</v>
      </c>
      <c r="C99" s="22" t="s">
        <v>841</v>
      </c>
      <c r="D99" s="23">
        <f>919972354354</f>
        <v>919972354354</v>
      </c>
      <c r="E99" s="15"/>
      <c r="F99" s="35" t="s">
        <v>845</v>
      </c>
      <c r="G99" s="15" t="s">
        <v>848</v>
      </c>
      <c r="H99" s="15"/>
      <c r="I99" s="15"/>
      <c r="J99" s="15"/>
      <c r="K99" s="15"/>
      <c r="L99" s="15"/>
      <c r="M99" s="15"/>
      <c r="N99" s="15"/>
      <c r="O99" s="15"/>
      <c r="P99" s="15"/>
      <c r="Q99" s="15"/>
      <c r="R99" s="15"/>
      <c r="S99" s="15"/>
      <c r="T99" s="15"/>
      <c r="U99" s="15"/>
      <c r="V99" s="15"/>
      <c r="W99" s="15"/>
      <c r="X99" s="15"/>
      <c r="Y99" s="15"/>
      <c r="Z99" s="15"/>
    </row>
    <row r="100">
      <c r="A100" s="59" t="s">
        <v>849</v>
      </c>
      <c r="B100" s="59" t="s">
        <v>850</v>
      </c>
      <c r="C100" s="60" t="s">
        <v>851</v>
      </c>
      <c r="D100" s="60" t="s">
        <v>852</v>
      </c>
      <c r="E100" s="59"/>
      <c r="F100" s="61" t="s">
        <v>854</v>
      </c>
      <c r="G100" s="59" t="s">
        <v>503</v>
      </c>
      <c r="H100" s="59"/>
      <c r="I100" s="59"/>
      <c r="J100" s="59"/>
      <c r="K100" s="59"/>
      <c r="L100" s="59"/>
      <c r="M100" s="59"/>
      <c r="N100" s="59"/>
      <c r="O100" s="59"/>
      <c r="P100" s="59"/>
      <c r="Q100" s="59"/>
      <c r="R100" s="59"/>
      <c r="S100" s="59"/>
      <c r="T100" s="59"/>
      <c r="U100" s="59"/>
      <c r="V100" s="59"/>
      <c r="W100" s="59"/>
      <c r="X100" s="59"/>
      <c r="Y100" s="59"/>
      <c r="Z100" s="59"/>
    </row>
    <row r="101">
      <c r="A101" s="7" t="s">
        <v>860</v>
      </c>
      <c r="B101" s="7" t="s">
        <v>861</v>
      </c>
      <c r="C101" s="13" t="s">
        <v>862</v>
      </c>
      <c r="D101" s="12">
        <f>918861753853</f>
        <v>918861753853</v>
      </c>
      <c r="E101" s="7"/>
      <c r="F101" s="33" t="s">
        <v>864</v>
      </c>
      <c r="G101" s="7" t="s">
        <v>867</v>
      </c>
      <c r="H101" s="7"/>
      <c r="I101" s="7"/>
      <c r="J101" s="7"/>
      <c r="K101" s="7"/>
      <c r="L101" s="7"/>
      <c r="M101" s="7"/>
      <c r="N101" s="7"/>
      <c r="O101" s="7"/>
      <c r="P101" s="7"/>
      <c r="Q101" s="7"/>
      <c r="R101" s="7"/>
      <c r="S101" s="7"/>
      <c r="T101" s="7"/>
      <c r="U101" s="7"/>
      <c r="V101" s="7"/>
      <c r="W101" s="7"/>
      <c r="X101" s="7"/>
      <c r="Y101" s="7"/>
      <c r="Z101" s="7"/>
    </row>
    <row r="102">
      <c r="A102" s="59" t="s">
        <v>868</v>
      </c>
      <c r="B102" s="59" t="s">
        <v>869</v>
      </c>
      <c r="C102" s="60" t="s">
        <v>870</v>
      </c>
      <c r="D102" s="62">
        <f>919731037138</f>
        <v>919731037138</v>
      </c>
      <c r="E102" s="59"/>
      <c r="F102" s="61" t="s">
        <v>877</v>
      </c>
      <c r="G102" s="59" t="s">
        <v>878</v>
      </c>
      <c r="H102" s="59"/>
      <c r="I102" s="59"/>
      <c r="J102" s="59"/>
      <c r="K102" s="59"/>
      <c r="L102" s="59"/>
      <c r="M102" s="59"/>
      <c r="N102" s="59"/>
      <c r="O102" s="59"/>
      <c r="P102" s="59"/>
      <c r="Q102" s="59"/>
      <c r="R102" s="59"/>
      <c r="S102" s="59"/>
      <c r="T102" s="59"/>
      <c r="U102" s="59"/>
      <c r="V102" s="59"/>
      <c r="W102" s="59"/>
      <c r="X102" s="59"/>
      <c r="Y102" s="59"/>
      <c r="Z102" s="59"/>
    </row>
    <row r="103">
      <c r="A103" s="7" t="s">
        <v>879</v>
      </c>
      <c r="B103" s="7" t="s">
        <v>880</v>
      </c>
      <c r="C103" s="13" t="s">
        <v>881</v>
      </c>
      <c r="D103" s="12">
        <f>919880200211</f>
        <v>919880200211</v>
      </c>
      <c r="E103" s="7"/>
      <c r="F103" s="33" t="s">
        <v>882</v>
      </c>
      <c r="G103" s="7" t="s">
        <v>503</v>
      </c>
      <c r="H103" s="7"/>
      <c r="I103" s="7"/>
      <c r="J103" s="7"/>
      <c r="K103" s="7"/>
      <c r="L103" s="7"/>
      <c r="M103" s="7"/>
      <c r="N103" s="7"/>
      <c r="O103" s="7"/>
      <c r="P103" s="7"/>
      <c r="Q103" s="7"/>
      <c r="R103" s="7"/>
      <c r="S103" s="7"/>
      <c r="T103" s="7"/>
      <c r="U103" s="7"/>
      <c r="V103" s="7"/>
      <c r="W103" s="7"/>
      <c r="X103" s="7"/>
      <c r="Y103" s="7"/>
      <c r="Z103" s="7"/>
    </row>
    <row r="104">
      <c r="A104" s="7" t="s">
        <v>888</v>
      </c>
      <c r="B104" s="7" t="s">
        <v>889</v>
      </c>
      <c r="C104" s="13" t="s">
        <v>890</v>
      </c>
      <c r="D104" s="12">
        <f>917022547015</f>
        <v>917022547015</v>
      </c>
      <c r="E104" s="7"/>
      <c r="F104" s="64" t="s">
        <v>894</v>
      </c>
      <c r="G104" s="7" t="s">
        <v>503</v>
      </c>
      <c r="H104" s="7"/>
      <c r="I104" s="7"/>
      <c r="J104" s="7"/>
      <c r="K104" s="7"/>
      <c r="L104" s="7"/>
      <c r="M104" s="7"/>
      <c r="N104" s="7"/>
      <c r="O104" s="7"/>
      <c r="P104" s="7"/>
      <c r="Q104" s="7"/>
      <c r="R104" s="7"/>
      <c r="S104" s="7"/>
      <c r="T104" s="7"/>
      <c r="U104" s="7"/>
      <c r="V104" s="7"/>
      <c r="W104" s="7"/>
      <c r="X104" s="7"/>
      <c r="Y104" s="7"/>
      <c r="Z104" s="7"/>
    </row>
    <row r="105">
      <c r="A105" s="7"/>
      <c r="B105" s="7" t="s">
        <v>902</v>
      </c>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t="s">
        <v>907</v>
      </c>
      <c r="B106" s="7" t="s">
        <v>908</v>
      </c>
      <c r="C106" s="13" t="s">
        <v>909</v>
      </c>
      <c r="D106" s="7"/>
      <c r="E106" s="7"/>
      <c r="F106" s="33" t="s">
        <v>910</v>
      </c>
      <c r="G106" s="7"/>
      <c r="H106" s="7"/>
      <c r="I106" s="7"/>
      <c r="J106" s="7"/>
      <c r="K106" s="7"/>
      <c r="L106" s="7"/>
      <c r="M106" s="7"/>
      <c r="N106" s="7"/>
      <c r="O106" s="7"/>
      <c r="P106" s="7"/>
      <c r="Q106" s="7"/>
      <c r="R106" s="7"/>
      <c r="S106" s="7"/>
      <c r="T106" s="7"/>
      <c r="U106" s="7"/>
      <c r="V106" s="7"/>
      <c r="W106" s="7"/>
      <c r="X106" s="7"/>
      <c r="Y106" s="7"/>
      <c r="Z106" s="7"/>
    </row>
    <row r="107">
      <c r="A107" s="15" t="s">
        <v>919</v>
      </c>
      <c r="B107" s="15" t="s">
        <v>920</v>
      </c>
      <c r="C107" s="22" t="s">
        <v>921</v>
      </c>
      <c r="D107" s="23">
        <f>919845128448</f>
        <v>919845128448</v>
      </c>
      <c r="E107" s="15"/>
      <c r="F107" s="35" t="s">
        <v>924</v>
      </c>
      <c r="G107" s="15" t="s">
        <v>926</v>
      </c>
      <c r="H107" s="15"/>
      <c r="I107" s="15"/>
      <c r="J107" s="15"/>
      <c r="K107" s="15"/>
      <c r="L107" s="15"/>
      <c r="M107" s="15"/>
      <c r="N107" s="15"/>
      <c r="O107" s="15"/>
      <c r="P107" s="15"/>
      <c r="Q107" s="15"/>
      <c r="R107" s="15"/>
      <c r="S107" s="15"/>
      <c r="T107" s="15"/>
      <c r="U107" s="15"/>
      <c r="V107" s="15"/>
      <c r="W107" s="15"/>
      <c r="X107" s="15"/>
      <c r="Y107" s="15"/>
      <c r="Z107" s="15"/>
    </row>
    <row r="108">
      <c r="A108" s="15" t="s">
        <v>927</v>
      </c>
      <c r="B108" s="15" t="s">
        <v>928</v>
      </c>
      <c r="C108" s="22" t="s">
        <v>929</v>
      </c>
      <c r="D108" s="23">
        <f>919632366220</f>
        <v>919632366220</v>
      </c>
      <c r="E108" s="15"/>
      <c r="F108" s="35" t="s">
        <v>931</v>
      </c>
      <c r="G108" s="15" t="s">
        <v>932</v>
      </c>
      <c r="H108" s="15"/>
      <c r="I108" s="15"/>
      <c r="J108" s="15"/>
      <c r="K108" s="15"/>
      <c r="L108" s="15"/>
      <c r="M108" s="15"/>
      <c r="N108" s="15"/>
      <c r="O108" s="15"/>
      <c r="P108" s="15"/>
      <c r="Q108" s="15"/>
      <c r="R108" s="15"/>
      <c r="S108" s="15"/>
      <c r="T108" s="15"/>
      <c r="U108" s="15"/>
      <c r="V108" s="15"/>
      <c r="W108" s="15"/>
      <c r="X108" s="15"/>
      <c r="Y108" s="15"/>
      <c r="Z108" s="15"/>
    </row>
    <row r="109">
      <c r="A109" s="22" t="s">
        <v>933</v>
      </c>
      <c r="B109" s="15" t="s">
        <v>934</v>
      </c>
      <c r="C109" s="22" t="s">
        <v>935</v>
      </c>
      <c r="D109" s="23">
        <f>919880141542</f>
        <v>919880141542</v>
      </c>
      <c r="E109" s="15"/>
      <c r="F109" s="24" t="s">
        <v>938</v>
      </c>
      <c r="G109" s="22" t="s">
        <v>942</v>
      </c>
      <c r="H109" s="15"/>
      <c r="I109" s="15"/>
      <c r="J109" s="15"/>
      <c r="K109" s="15"/>
      <c r="L109" s="15"/>
      <c r="M109" s="15"/>
      <c r="N109" s="15"/>
      <c r="O109" s="15"/>
      <c r="P109" s="15"/>
      <c r="Q109" s="15"/>
      <c r="R109" s="15"/>
      <c r="S109" s="15"/>
      <c r="T109" s="15"/>
      <c r="U109" s="15"/>
      <c r="V109" s="15"/>
      <c r="W109" s="15"/>
      <c r="X109" s="15"/>
      <c r="Y109" s="15"/>
      <c r="Z109" s="15"/>
    </row>
    <row r="110">
      <c r="A110" s="56"/>
      <c r="B110" s="56"/>
      <c r="C110" s="56"/>
      <c r="D110" s="7"/>
      <c r="E110" s="7"/>
      <c r="F110" s="7"/>
      <c r="G110" s="7"/>
      <c r="H110" s="7"/>
      <c r="I110" s="7"/>
      <c r="J110" s="7"/>
      <c r="K110" s="7"/>
      <c r="L110" s="7"/>
      <c r="M110" s="7"/>
      <c r="N110" s="7"/>
      <c r="O110" s="7"/>
      <c r="P110" s="7"/>
      <c r="Q110" s="7"/>
      <c r="R110" s="7"/>
      <c r="S110" s="7"/>
      <c r="T110" s="7"/>
      <c r="U110" s="7"/>
      <c r="V110" s="7"/>
      <c r="W110" s="7"/>
      <c r="X110" s="7"/>
      <c r="Y110" s="7"/>
      <c r="Z110" s="7"/>
    </row>
    <row r="111">
      <c r="A111" s="7" t="s">
        <v>945</v>
      </c>
      <c r="B111" s="7" t="s">
        <v>946</v>
      </c>
      <c r="C111" s="13" t="s">
        <v>252</v>
      </c>
      <c r="D111" s="13" t="s">
        <v>947</v>
      </c>
      <c r="E111" s="7"/>
      <c r="F111" s="33" t="s">
        <v>948</v>
      </c>
      <c r="G111" s="7"/>
      <c r="H111" s="7"/>
      <c r="I111" s="7"/>
      <c r="J111" s="7"/>
      <c r="K111" s="7"/>
      <c r="L111" s="7"/>
      <c r="M111" s="7"/>
      <c r="N111" s="7"/>
      <c r="O111" s="7"/>
      <c r="P111" s="7"/>
      <c r="Q111" s="7"/>
      <c r="R111" s="7"/>
      <c r="S111" s="7"/>
      <c r="T111" s="7"/>
      <c r="U111" s="7"/>
      <c r="V111" s="7"/>
      <c r="W111" s="7"/>
      <c r="X111" s="7"/>
      <c r="Y111" s="7"/>
      <c r="Z111" s="7"/>
    </row>
    <row r="112">
      <c r="A112" s="17"/>
      <c r="B112" s="7" t="s">
        <v>952</v>
      </c>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9" t="s">
        <v>955</v>
      </c>
      <c r="B113" s="7" t="s">
        <v>956</v>
      </c>
      <c r="C113" s="13" t="s">
        <v>957</v>
      </c>
      <c r="D113" s="13" t="s">
        <v>958</v>
      </c>
      <c r="E113" s="7"/>
      <c r="F113" s="16" t="s">
        <v>959</v>
      </c>
      <c r="G113" s="7"/>
      <c r="H113" s="7"/>
      <c r="I113" s="7"/>
      <c r="J113" s="7"/>
      <c r="K113" s="7"/>
      <c r="L113" s="7"/>
      <c r="M113" s="7"/>
      <c r="N113" s="7"/>
      <c r="O113" s="7"/>
      <c r="P113" s="7"/>
      <c r="Q113" s="7"/>
      <c r="R113" s="7"/>
      <c r="S113" s="7"/>
      <c r="T113" s="7"/>
      <c r="U113" s="7"/>
      <c r="V113" s="7"/>
      <c r="W113" s="7"/>
      <c r="X113" s="7"/>
      <c r="Y113" s="7"/>
      <c r="Z113" s="7"/>
    </row>
    <row r="114">
      <c r="A114" s="17"/>
      <c r="B114" s="7" t="s">
        <v>964</v>
      </c>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t="s">
        <v>968</v>
      </c>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t="s">
        <v>971</v>
      </c>
      <c r="B116" s="7" t="s">
        <v>972</v>
      </c>
      <c r="C116" s="7"/>
      <c r="D116" s="12">
        <f>919845632911</f>
        <v>919845632911</v>
      </c>
      <c r="E116" s="7"/>
      <c r="F116" s="16" t="s">
        <v>973</v>
      </c>
      <c r="G116" s="7"/>
      <c r="H116" s="7"/>
      <c r="I116" s="7"/>
      <c r="J116" s="7"/>
      <c r="K116" s="7"/>
      <c r="L116" s="7"/>
      <c r="M116" s="7"/>
      <c r="N116" s="7"/>
      <c r="O116" s="7"/>
      <c r="P116" s="7"/>
      <c r="Q116" s="7"/>
      <c r="R116" s="7"/>
      <c r="S116" s="7"/>
      <c r="T116" s="7"/>
      <c r="U116" s="7"/>
      <c r="V116" s="7"/>
      <c r="W116" s="7"/>
      <c r="X116" s="7"/>
      <c r="Y116" s="7"/>
      <c r="Z116" s="7"/>
    </row>
    <row r="117">
      <c r="A117" s="7"/>
      <c r="B117" s="7" t="s">
        <v>978</v>
      </c>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t="s">
        <v>984</v>
      </c>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t="s">
        <v>985</v>
      </c>
      <c r="B119" s="7" t="s">
        <v>472</v>
      </c>
      <c r="C119" s="7"/>
      <c r="D119" s="12">
        <f>919820198652</f>
        <v>919820198652</v>
      </c>
      <c r="E119" s="7"/>
      <c r="F119" s="16" t="s">
        <v>986</v>
      </c>
      <c r="G119" s="7"/>
      <c r="H119" s="7"/>
      <c r="I119" s="7"/>
      <c r="J119" s="7"/>
      <c r="K119" s="7"/>
      <c r="L119" s="7"/>
      <c r="M119" s="7"/>
      <c r="N119" s="7"/>
      <c r="O119" s="7"/>
      <c r="P119" s="7"/>
      <c r="Q119" s="7"/>
      <c r="R119" s="7"/>
      <c r="S119" s="7"/>
      <c r="T119" s="7"/>
      <c r="U119" s="7"/>
      <c r="V119" s="7"/>
      <c r="W119" s="7"/>
      <c r="X119" s="7"/>
      <c r="Y119" s="7"/>
      <c r="Z119" s="7"/>
    </row>
    <row r="120">
      <c r="A120" s="7"/>
      <c r="B120" s="7" t="s">
        <v>990</v>
      </c>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17" t="s">
        <v>996</v>
      </c>
      <c r="B121" s="7" t="s">
        <v>997</v>
      </c>
      <c r="C121" s="17"/>
      <c r="D121" s="48">
        <f>919886273302</f>
        <v>919886273302</v>
      </c>
      <c r="E121" s="17"/>
      <c r="F121" s="67" t="s">
        <v>998</v>
      </c>
      <c r="G121" s="17"/>
      <c r="H121" s="17"/>
      <c r="I121" s="17"/>
      <c r="J121" s="17"/>
      <c r="K121" s="17"/>
      <c r="L121" s="17"/>
      <c r="M121" s="17"/>
      <c r="N121" s="17"/>
      <c r="O121" s="17"/>
      <c r="P121" s="17"/>
      <c r="Q121" s="17"/>
      <c r="R121" s="17"/>
      <c r="S121" s="17"/>
      <c r="T121" s="17"/>
      <c r="U121" s="17"/>
      <c r="V121" s="17"/>
      <c r="W121" s="17"/>
      <c r="X121" s="17"/>
      <c r="Y121" s="17"/>
      <c r="Z121" s="17"/>
    </row>
    <row r="122">
      <c r="A122" s="7"/>
      <c r="B122" s="7" t="s">
        <v>1007</v>
      </c>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17" t="s">
        <v>1013</v>
      </c>
      <c r="B123" s="7" t="s">
        <v>1015</v>
      </c>
      <c r="C123" s="7" t="s">
        <v>1016</v>
      </c>
      <c r="D123" s="54">
        <f>919739181545</f>
        <v>919739181545</v>
      </c>
      <c r="E123" s="7"/>
      <c r="F123" s="33" t="s">
        <v>1017</v>
      </c>
      <c r="G123" s="7" t="s">
        <v>1022</v>
      </c>
      <c r="H123" s="7"/>
      <c r="I123" s="7"/>
      <c r="J123" s="7"/>
      <c r="K123" s="7"/>
      <c r="L123" s="7"/>
      <c r="M123" s="7"/>
      <c r="N123" s="7"/>
      <c r="O123" s="7"/>
      <c r="P123" s="7"/>
      <c r="Q123" s="7"/>
      <c r="R123" s="7"/>
      <c r="S123" s="7"/>
      <c r="T123" s="7"/>
      <c r="U123" s="7"/>
      <c r="V123" s="7"/>
      <c r="W123" s="7"/>
      <c r="X123" s="7"/>
      <c r="Y123" s="7"/>
      <c r="Z123" s="7"/>
    </row>
    <row r="124">
      <c r="A124" s="7"/>
      <c r="B124" s="7" t="s">
        <v>1023</v>
      </c>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68" t="s">
        <v>1024</v>
      </c>
      <c r="B125" s="68" t="s">
        <v>1030</v>
      </c>
      <c r="C125" s="68"/>
      <c r="D125" s="69">
        <f>918130300622</f>
        <v>918130300622</v>
      </c>
      <c r="E125" s="68"/>
      <c r="F125" s="70" t="s">
        <v>1036</v>
      </c>
      <c r="G125" s="68" t="s">
        <v>1041</v>
      </c>
      <c r="H125" s="68"/>
      <c r="I125" s="68"/>
      <c r="J125" s="68"/>
      <c r="K125" s="68"/>
      <c r="L125" s="68"/>
      <c r="M125" s="68"/>
      <c r="N125" s="68"/>
      <c r="O125" s="68"/>
      <c r="P125" s="68"/>
      <c r="Q125" s="68"/>
      <c r="R125" s="68"/>
      <c r="S125" s="68"/>
      <c r="T125" s="68"/>
      <c r="U125" s="68"/>
      <c r="V125" s="68"/>
      <c r="W125" s="68"/>
      <c r="X125" s="68"/>
      <c r="Y125" s="68"/>
      <c r="Z125" s="68"/>
    </row>
    <row r="126">
      <c r="A126" s="7"/>
      <c r="B126" s="7" t="s">
        <v>1046</v>
      </c>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t="s">
        <v>1047</v>
      </c>
      <c r="B127" s="7" t="s">
        <v>1048</v>
      </c>
      <c r="C127" s="7" t="s">
        <v>1049</v>
      </c>
      <c r="D127" s="71">
        <f>+918040434245</f>
        <v>918040434245</v>
      </c>
      <c r="E127" s="7"/>
      <c r="F127" s="33" t="s">
        <v>1055</v>
      </c>
      <c r="G127" s="7"/>
      <c r="H127" s="7"/>
      <c r="I127" s="7"/>
      <c r="J127" s="7"/>
      <c r="K127" s="7"/>
      <c r="L127" s="7"/>
      <c r="M127" s="7"/>
      <c r="N127" s="7"/>
      <c r="O127" s="7"/>
      <c r="P127" s="7"/>
      <c r="Q127" s="7"/>
      <c r="R127" s="7"/>
      <c r="S127" s="7"/>
      <c r="T127" s="7"/>
      <c r="U127" s="7"/>
      <c r="V127" s="7"/>
      <c r="W127" s="7"/>
      <c r="X127" s="7"/>
      <c r="Y127" s="7"/>
      <c r="Z127" s="7"/>
    </row>
    <row r="128">
      <c r="A128" s="7"/>
      <c r="B128" s="7" t="s">
        <v>1061</v>
      </c>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t="s">
        <v>1064</v>
      </c>
      <c r="B129" s="7" t="s">
        <v>1065</v>
      </c>
      <c r="C129" s="7" t="s">
        <v>1066</v>
      </c>
      <c r="D129" s="55">
        <v>7.259396396E9</v>
      </c>
      <c r="E129" s="71">
        <f>+918848793440</f>
        <v>918848793440</v>
      </c>
      <c r="F129" s="33" t="s">
        <v>1067</v>
      </c>
      <c r="G129" s="7"/>
      <c r="H129" s="7"/>
      <c r="I129" s="7"/>
      <c r="J129" s="7"/>
      <c r="K129" s="7"/>
      <c r="L129" s="7"/>
      <c r="M129" s="7"/>
      <c r="N129" s="7"/>
      <c r="O129" s="7"/>
      <c r="P129" s="7"/>
      <c r="Q129" s="7"/>
      <c r="R129" s="7"/>
      <c r="S129" s="7"/>
      <c r="T129" s="7"/>
      <c r="U129" s="7"/>
      <c r="V129" s="7"/>
      <c r="W129" s="7"/>
      <c r="X129" s="7"/>
      <c r="Y129" s="7"/>
      <c r="Z129" s="7"/>
    </row>
    <row r="130">
      <c r="A130" s="7" t="s">
        <v>1072</v>
      </c>
      <c r="B130" s="7" t="s">
        <v>1073</v>
      </c>
      <c r="C130" s="7" t="s">
        <v>10</v>
      </c>
      <c r="D130" s="71">
        <f>+919845655826</f>
        <v>919845655826</v>
      </c>
      <c r="E130" s="7"/>
      <c r="F130" s="33" t="s">
        <v>1077</v>
      </c>
      <c r="G130" s="7"/>
      <c r="H130" s="7"/>
      <c r="I130" s="7"/>
      <c r="J130" s="7"/>
      <c r="K130" s="7"/>
      <c r="L130" s="7"/>
      <c r="M130" s="7"/>
      <c r="N130" s="7"/>
      <c r="O130" s="7"/>
      <c r="P130" s="7"/>
      <c r="Q130" s="7"/>
      <c r="R130" s="7"/>
      <c r="S130" s="7"/>
      <c r="T130" s="7"/>
      <c r="U130" s="7"/>
      <c r="V130" s="7"/>
      <c r="W130" s="7"/>
      <c r="X130" s="7"/>
      <c r="Y130" s="7"/>
      <c r="Z130" s="7"/>
    </row>
    <row r="131">
      <c r="A131" s="7" t="s">
        <v>1081</v>
      </c>
      <c r="B131" s="7" t="s">
        <v>1082</v>
      </c>
      <c r="C131" s="7" t="s">
        <v>1083</v>
      </c>
      <c r="D131" s="71">
        <f>+919972585495</f>
        <v>919972585495</v>
      </c>
      <c r="E131" s="7"/>
      <c r="F131" s="33" t="s">
        <v>1085</v>
      </c>
      <c r="G131" s="7"/>
      <c r="H131" s="7"/>
      <c r="I131" s="7"/>
      <c r="J131" s="7"/>
      <c r="K131" s="7"/>
      <c r="L131" s="7"/>
      <c r="M131" s="7"/>
      <c r="N131" s="7"/>
      <c r="O131" s="7"/>
      <c r="P131" s="7"/>
      <c r="Q131" s="7"/>
      <c r="R131" s="7"/>
      <c r="S131" s="7"/>
      <c r="T131" s="7"/>
      <c r="U131" s="7"/>
      <c r="V131" s="7"/>
      <c r="W131" s="7"/>
      <c r="X131" s="7"/>
      <c r="Y131" s="7"/>
      <c r="Z131" s="7"/>
    </row>
    <row r="132">
      <c r="A132" s="7" t="s">
        <v>1088</v>
      </c>
      <c r="B132" s="7" t="s">
        <v>357</v>
      </c>
      <c r="C132" s="7" t="s">
        <v>1089</v>
      </c>
      <c r="D132" s="7"/>
      <c r="E132" s="7"/>
      <c r="F132" s="7"/>
      <c r="G132" s="7"/>
      <c r="H132" s="7"/>
      <c r="I132" s="7"/>
      <c r="J132" s="7"/>
      <c r="K132" s="7"/>
      <c r="L132" s="7"/>
      <c r="M132" s="7"/>
      <c r="N132" s="7"/>
      <c r="O132" s="7"/>
      <c r="P132" s="7"/>
      <c r="Q132" s="7"/>
      <c r="R132" s="7"/>
      <c r="S132" s="7"/>
      <c r="T132" s="7"/>
      <c r="U132" s="7"/>
      <c r="V132" s="7"/>
      <c r="W132" s="7"/>
      <c r="X132" s="7"/>
      <c r="Y132" s="7"/>
      <c r="Z132" s="7"/>
    </row>
    <row r="133">
      <c r="A133" s="7" t="s">
        <v>1091</v>
      </c>
      <c r="B133" s="7" t="s">
        <v>293</v>
      </c>
      <c r="C133" s="7" t="s">
        <v>1093</v>
      </c>
      <c r="D133" s="55">
        <f>919988111260</f>
        <v>919988111260</v>
      </c>
      <c r="E133" s="7"/>
      <c r="F133" s="33" t="s">
        <v>1094</v>
      </c>
      <c r="G133" s="7"/>
      <c r="H133" s="7"/>
      <c r="I133" s="7"/>
      <c r="J133" s="7"/>
      <c r="K133" s="7"/>
      <c r="L133" s="7"/>
      <c r="M133" s="7"/>
      <c r="N133" s="7"/>
      <c r="O133" s="7"/>
      <c r="P133" s="7"/>
      <c r="Q133" s="7"/>
      <c r="R133" s="7"/>
      <c r="S133" s="7"/>
      <c r="T133" s="7"/>
      <c r="U133" s="7"/>
      <c r="V133" s="7"/>
      <c r="W133" s="7"/>
      <c r="X133" s="7"/>
      <c r="Y133" s="7"/>
      <c r="Z133" s="7"/>
    </row>
    <row r="134">
      <c r="A134" s="7" t="s">
        <v>1100</v>
      </c>
      <c r="B134" s="7" t="s">
        <v>330</v>
      </c>
      <c r="C134" s="7" t="s">
        <v>1101</v>
      </c>
      <c r="D134" s="7" t="s">
        <v>1102</v>
      </c>
      <c r="E134" s="7"/>
      <c r="F134" s="33" t="s">
        <v>1103</v>
      </c>
      <c r="G134" s="7"/>
      <c r="H134" s="7"/>
      <c r="I134" s="7"/>
      <c r="J134" s="7"/>
      <c r="K134" s="7"/>
      <c r="L134" s="7"/>
      <c r="M134" s="7"/>
      <c r="N134" s="7"/>
      <c r="O134" s="7"/>
      <c r="P134" s="7"/>
      <c r="Q134" s="7"/>
      <c r="R134" s="7"/>
      <c r="S134" s="7"/>
      <c r="T134" s="7"/>
      <c r="U134" s="7"/>
      <c r="V134" s="7"/>
      <c r="W134" s="7"/>
      <c r="X134" s="7"/>
      <c r="Y134" s="7"/>
      <c r="Z134" s="7"/>
    </row>
    <row r="135">
      <c r="A135" s="7"/>
      <c r="B135" s="64" t="s">
        <v>1107</v>
      </c>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15" t="s">
        <v>1112</v>
      </c>
      <c r="B136" s="15" t="s">
        <v>1113</v>
      </c>
      <c r="C136" s="15" t="s">
        <v>1114</v>
      </c>
      <c r="D136" s="15" t="s">
        <v>1115</v>
      </c>
      <c r="E136" s="15"/>
      <c r="F136" s="35" t="s">
        <v>1116</v>
      </c>
      <c r="G136" s="15"/>
      <c r="H136" s="15"/>
      <c r="I136" s="15"/>
      <c r="J136" s="15"/>
      <c r="K136" s="15"/>
      <c r="L136" s="15"/>
      <c r="M136" s="15"/>
      <c r="N136" s="15"/>
      <c r="O136" s="15"/>
      <c r="P136" s="15"/>
      <c r="Q136" s="15"/>
      <c r="R136" s="15"/>
      <c r="S136" s="15"/>
      <c r="T136" s="15"/>
      <c r="U136" s="15"/>
      <c r="V136" s="15"/>
      <c r="W136" s="15"/>
      <c r="X136" s="15"/>
      <c r="Y136" s="15"/>
      <c r="Z136" s="15"/>
    </row>
    <row r="137">
      <c r="A137" s="7"/>
      <c r="B137" s="7" t="s">
        <v>1120</v>
      </c>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15" t="s">
        <v>1125</v>
      </c>
      <c r="B138" s="15" t="s">
        <v>1126</v>
      </c>
      <c r="C138" s="15" t="s">
        <v>51</v>
      </c>
      <c r="D138" s="54">
        <f>918889270007</f>
        <v>918889270007</v>
      </c>
      <c r="E138" s="15"/>
      <c r="F138" s="35" t="s">
        <v>1127</v>
      </c>
      <c r="G138" s="15" t="s">
        <v>1132</v>
      </c>
      <c r="H138" s="15"/>
      <c r="I138" s="15"/>
      <c r="J138" s="15"/>
      <c r="K138" s="15"/>
      <c r="L138" s="15"/>
      <c r="M138" s="15"/>
      <c r="N138" s="15"/>
      <c r="O138" s="15"/>
      <c r="P138" s="15"/>
      <c r="Q138" s="15"/>
      <c r="R138" s="15"/>
      <c r="S138" s="15"/>
      <c r="T138" s="15"/>
      <c r="U138" s="15"/>
      <c r="V138" s="15"/>
      <c r="W138" s="15"/>
      <c r="X138" s="15"/>
      <c r="Y138" s="15"/>
      <c r="Z138" s="15"/>
    </row>
    <row r="139">
      <c r="A139" s="15" t="s">
        <v>1133</v>
      </c>
      <c r="B139" s="15" t="s">
        <v>1135</v>
      </c>
      <c r="C139" s="15" t="s">
        <v>1137</v>
      </c>
      <c r="D139" s="54">
        <f>919880018667</f>
        <v>919880018667</v>
      </c>
      <c r="E139" s="15"/>
      <c r="F139" s="35" t="s">
        <v>1140</v>
      </c>
      <c r="G139" s="15" t="s">
        <v>1141</v>
      </c>
      <c r="H139" s="15"/>
      <c r="I139" s="15"/>
      <c r="J139" s="15"/>
      <c r="K139" s="15"/>
      <c r="L139" s="15"/>
      <c r="M139" s="15"/>
      <c r="N139" s="15"/>
      <c r="O139" s="15"/>
      <c r="P139" s="15"/>
      <c r="Q139" s="15"/>
      <c r="R139" s="15"/>
      <c r="S139" s="15"/>
      <c r="T139" s="15"/>
      <c r="U139" s="15"/>
      <c r="V139" s="15"/>
      <c r="W139" s="15"/>
      <c r="X139" s="15"/>
      <c r="Y139" s="15"/>
      <c r="Z139" s="15"/>
    </row>
    <row r="140">
      <c r="A140" s="7"/>
      <c r="B140" s="7" t="s">
        <v>1142</v>
      </c>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t="s">
        <v>1145</v>
      </c>
      <c r="B141" s="7" t="s">
        <v>310</v>
      </c>
      <c r="C141" s="7" t="s">
        <v>1147</v>
      </c>
      <c r="D141" s="55">
        <f>919779451321</f>
        <v>919779451321</v>
      </c>
      <c r="E141" s="7"/>
      <c r="F141" s="33" t="s">
        <v>1149</v>
      </c>
      <c r="G141" s="7" t="s">
        <v>503</v>
      </c>
      <c r="H141" s="7"/>
      <c r="I141" s="7"/>
      <c r="J141" s="7"/>
      <c r="K141" s="7"/>
      <c r="L141" s="7"/>
      <c r="M141" s="7"/>
      <c r="N141" s="7"/>
      <c r="O141" s="7"/>
      <c r="P141" s="7"/>
      <c r="Q141" s="7"/>
      <c r="R141" s="7"/>
      <c r="S141" s="7"/>
      <c r="T141" s="7"/>
      <c r="U141" s="7"/>
      <c r="V141" s="7"/>
      <c r="W141" s="7"/>
      <c r="X141" s="7"/>
      <c r="Y141" s="7"/>
      <c r="Z141" s="7"/>
    </row>
    <row r="142">
      <c r="A142" s="7" t="s">
        <v>1152</v>
      </c>
      <c r="B142" s="7" t="s">
        <v>364</v>
      </c>
      <c r="C142" s="7" t="s">
        <v>1154</v>
      </c>
      <c r="D142" s="7"/>
      <c r="E142" s="7"/>
      <c r="F142" s="33" t="s">
        <v>1155</v>
      </c>
      <c r="G142" s="7"/>
      <c r="H142" s="7"/>
      <c r="I142" s="7"/>
      <c r="J142" s="7"/>
      <c r="K142" s="7"/>
      <c r="L142" s="7"/>
      <c r="M142" s="7"/>
      <c r="N142" s="7"/>
      <c r="O142" s="7"/>
      <c r="P142" s="7"/>
      <c r="Q142" s="7"/>
      <c r="R142" s="7"/>
      <c r="S142" s="7"/>
      <c r="T142" s="7"/>
      <c r="U142" s="7"/>
      <c r="V142" s="7"/>
      <c r="W142" s="7"/>
      <c r="X142" s="7"/>
      <c r="Y142" s="7"/>
      <c r="Z142" s="7"/>
    </row>
    <row r="143">
      <c r="A143" s="7"/>
      <c r="B143" s="7" t="s">
        <v>1158</v>
      </c>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t="s">
        <v>1160</v>
      </c>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t="s">
        <v>1161</v>
      </c>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t="s">
        <v>1165</v>
      </c>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15" t="s">
        <v>1167</v>
      </c>
      <c r="B147" s="15" t="s">
        <v>1168</v>
      </c>
      <c r="C147" s="15" t="s">
        <v>537</v>
      </c>
      <c r="D147" s="54">
        <f>919900922000</f>
        <v>919900922000</v>
      </c>
      <c r="E147" s="15"/>
      <c r="F147" s="35" t="s">
        <v>1169</v>
      </c>
      <c r="G147" s="15"/>
      <c r="H147" s="15"/>
      <c r="I147" s="15"/>
      <c r="J147" s="15"/>
      <c r="K147" s="15"/>
      <c r="L147" s="15"/>
      <c r="M147" s="15"/>
      <c r="N147" s="15"/>
      <c r="O147" s="15"/>
      <c r="P147" s="15"/>
      <c r="Q147" s="15"/>
      <c r="R147" s="15"/>
      <c r="S147" s="15"/>
      <c r="T147" s="15"/>
      <c r="U147" s="15"/>
      <c r="V147" s="15"/>
      <c r="W147" s="15"/>
      <c r="X147" s="15"/>
      <c r="Y147" s="15"/>
      <c r="Z147" s="15"/>
    </row>
    <row r="148">
      <c r="A148" s="7" t="s">
        <v>1174</v>
      </c>
      <c r="B148" s="7" t="s">
        <v>1175</v>
      </c>
      <c r="C148" s="7" t="s">
        <v>1176</v>
      </c>
      <c r="D148" s="55">
        <f>917066009632</f>
        <v>917066009632</v>
      </c>
      <c r="E148" s="7"/>
      <c r="F148" s="33" t="s">
        <v>1181</v>
      </c>
      <c r="G148" s="7" t="s">
        <v>1182</v>
      </c>
      <c r="H148" s="7"/>
      <c r="I148" s="7"/>
      <c r="J148" s="7"/>
      <c r="K148" s="7"/>
      <c r="L148" s="7"/>
      <c r="M148" s="7"/>
      <c r="N148" s="7"/>
      <c r="O148" s="7"/>
      <c r="P148" s="7"/>
      <c r="Q148" s="7"/>
      <c r="R148" s="7"/>
      <c r="S148" s="7"/>
      <c r="T148" s="7"/>
      <c r="U148" s="7"/>
      <c r="V148" s="7"/>
      <c r="W148" s="7"/>
      <c r="X148" s="7"/>
      <c r="Y148" s="7"/>
      <c r="Z148" s="7"/>
    </row>
    <row r="149">
      <c r="A149" s="7" t="s">
        <v>1186</v>
      </c>
      <c r="B149" s="7" t="s">
        <v>1187</v>
      </c>
      <c r="C149" s="7" t="s">
        <v>252</v>
      </c>
      <c r="D149" s="55">
        <v>9.19820298308E11</v>
      </c>
      <c r="E149" s="7"/>
      <c r="F149" s="33" t="s">
        <v>1189</v>
      </c>
      <c r="G149" s="7" t="s">
        <v>503</v>
      </c>
      <c r="H149" s="7"/>
      <c r="I149" s="7"/>
      <c r="J149" s="7"/>
      <c r="K149" s="7"/>
      <c r="L149" s="7"/>
      <c r="M149" s="7"/>
      <c r="N149" s="7"/>
      <c r="O149" s="7"/>
      <c r="P149" s="7"/>
      <c r="Q149" s="7"/>
      <c r="R149" s="7"/>
      <c r="S149" s="7"/>
      <c r="T149" s="7"/>
      <c r="U149" s="7"/>
      <c r="V149" s="7"/>
      <c r="W149" s="7"/>
      <c r="X149" s="7"/>
      <c r="Y149" s="7"/>
      <c r="Z149" s="7"/>
    </row>
    <row r="150">
      <c r="A150" s="7" t="s">
        <v>1195</v>
      </c>
      <c r="B150" s="7" t="s">
        <v>373</v>
      </c>
      <c r="C150" s="7" t="s">
        <v>1197</v>
      </c>
      <c r="D150" s="54">
        <f>918044260256</f>
        <v>918044260256</v>
      </c>
      <c r="E150" s="7"/>
      <c r="F150" s="33" t="s">
        <v>1201</v>
      </c>
      <c r="G150" s="7" t="s">
        <v>1204</v>
      </c>
      <c r="H150" s="7"/>
      <c r="I150" s="7"/>
      <c r="J150" s="7"/>
      <c r="K150" s="7"/>
      <c r="L150" s="7"/>
      <c r="M150" s="7"/>
      <c r="N150" s="7"/>
      <c r="O150" s="7"/>
      <c r="P150" s="7"/>
      <c r="Q150" s="7"/>
      <c r="R150" s="7"/>
      <c r="S150" s="7"/>
      <c r="T150" s="7"/>
      <c r="U150" s="7"/>
      <c r="V150" s="7"/>
      <c r="W150" s="7"/>
      <c r="X150" s="7"/>
      <c r="Y150" s="7"/>
      <c r="Z150" s="7"/>
    </row>
    <row r="151">
      <c r="A151" s="7"/>
      <c r="B151" s="7" t="s">
        <v>1205</v>
      </c>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t="s">
        <v>1207</v>
      </c>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t="s">
        <v>380</v>
      </c>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t="s">
        <v>1213</v>
      </c>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t="s">
        <v>716</v>
      </c>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t="s">
        <v>1218</v>
      </c>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t="s">
        <v>1222</v>
      </c>
      <c r="B158" s="7" t="s">
        <v>1223</v>
      </c>
      <c r="C158" s="7" t="s">
        <v>1192</v>
      </c>
      <c r="D158" s="7" t="s">
        <v>1224</v>
      </c>
      <c r="E158" s="7"/>
      <c r="F158" s="33" t="s">
        <v>1225</v>
      </c>
      <c r="G158" s="7"/>
      <c r="H158" s="7"/>
      <c r="I158" s="7"/>
      <c r="J158" s="7"/>
      <c r="K158" s="7"/>
      <c r="L158" s="7"/>
      <c r="M158" s="7"/>
      <c r="N158" s="7"/>
      <c r="O158" s="7"/>
      <c r="P158" s="7"/>
      <c r="Q158" s="7"/>
      <c r="R158" s="7"/>
      <c r="S158" s="7"/>
      <c r="T158" s="7"/>
      <c r="U158" s="7"/>
      <c r="V158" s="7"/>
      <c r="W158" s="7"/>
      <c r="X158" s="7"/>
      <c r="Y158" s="7"/>
      <c r="Z158" s="7"/>
    </row>
    <row r="159">
      <c r="A159" s="7" t="s">
        <v>1230</v>
      </c>
      <c r="B159" s="7" t="s">
        <v>1231</v>
      </c>
      <c r="C159" s="7" t="s">
        <v>1232</v>
      </c>
      <c r="D159" s="15" t="s">
        <v>1236</v>
      </c>
      <c r="E159" s="7"/>
      <c r="F159" s="33" t="s">
        <v>1237</v>
      </c>
      <c r="G159" s="7"/>
      <c r="H159" s="7"/>
      <c r="I159" s="7"/>
      <c r="J159" s="7"/>
      <c r="K159" s="7"/>
      <c r="L159" s="7"/>
      <c r="M159" s="7"/>
      <c r="N159" s="7"/>
      <c r="O159" s="7"/>
      <c r="P159" s="7"/>
      <c r="Q159" s="7"/>
      <c r="R159" s="7"/>
      <c r="S159" s="7"/>
      <c r="T159" s="7"/>
      <c r="U159" s="7"/>
      <c r="V159" s="7"/>
      <c r="W159" s="7"/>
      <c r="X159" s="7"/>
      <c r="Y159" s="7"/>
      <c r="Z159" s="7"/>
    </row>
    <row r="160">
      <c r="A160" s="15" t="s">
        <v>1239</v>
      </c>
      <c r="B160" s="15" t="s">
        <v>1223</v>
      </c>
      <c r="C160" s="15" t="s">
        <v>1240</v>
      </c>
      <c r="D160" s="54">
        <f>917090229564</f>
        <v>917090229564</v>
      </c>
      <c r="E160" s="15"/>
      <c r="F160" s="35" t="s">
        <v>1245</v>
      </c>
      <c r="G160" s="15"/>
      <c r="H160" s="15"/>
      <c r="I160" s="15"/>
      <c r="J160" s="15"/>
      <c r="K160" s="15"/>
      <c r="L160" s="15"/>
      <c r="M160" s="15"/>
      <c r="N160" s="15"/>
      <c r="O160" s="15"/>
      <c r="P160" s="15"/>
      <c r="Q160" s="15"/>
      <c r="R160" s="15"/>
      <c r="S160" s="15"/>
      <c r="T160" s="15"/>
      <c r="U160" s="15"/>
      <c r="V160" s="15"/>
      <c r="W160" s="15"/>
      <c r="X160" s="15"/>
      <c r="Y160" s="15"/>
      <c r="Z160" s="15"/>
    </row>
    <row r="161">
      <c r="A161" s="7" t="s">
        <v>1249</v>
      </c>
      <c r="B161" s="7" t="s">
        <v>1251</v>
      </c>
      <c r="C161" s="7" t="s">
        <v>1213</v>
      </c>
      <c r="D161" s="7" t="s">
        <v>1252</v>
      </c>
      <c r="E161" s="7"/>
      <c r="F161" s="33" t="s">
        <v>1253</v>
      </c>
      <c r="G161" s="7"/>
      <c r="H161" s="7"/>
      <c r="I161" s="7"/>
      <c r="J161" s="7"/>
      <c r="K161" s="7"/>
      <c r="L161" s="7"/>
      <c r="M161" s="7"/>
      <c r="N161" s="7"/>
      <c r="O161" s="7"/>
      <c r="P161" s="7"/>
      <c r="Q161" s="7"/>
      <c r="R161" s="7"/>
      <c r="S161" s="7"/>
      <c r="T161" s="7"/>
      <c r="U161" s="7"/>
      <c r="V161" s="7"/>
      <c r="W161" s="7"/>
      <c r="X161" s="7"/>
      <c r="Y161" s="7"/>
      <c r="Z161" s="7"/>
    </row>
    <row r="162">
      <c r="A162" s="7" t="s">
        <v>1258</v>
      </c>
      <c r="B162" s="7" t="s">
        <v>1259</v>
      </c>
      <c r="C162" s="7" t="s">
        <v>491</v>
      </c>
      <c r="D162" s="7"/>
      <c r="E162" s="7"/>
      <c r="F162" s="7"/>
      <c r="G162" s="7"/>
      <c r="H162" s="7"/>
      <c r="I162" s="7"/>
      <c r="J162" s="7"/>
      <c r="K162" s="7"/>
      <c r="L162" s="7"/>
      <c r="M162" s="7"/>
      <c r="N162" s="7"/>
      <c r="O162" s="7"/>
      <c r="P162" s="7"/>
      <c r="Q162" s="7"/>
      <c r="R162" s="7"/>
      <c r="S162" s="7"/>
      <c r="T162" s="7"/>
      <c r="U162" s="7"/>
      <c r="V162" s="7"/>
      <c r="W162" s="7"/>
      <c r="X162" s="7"/>
      <c r="Y162" s="7"/>
      <c r="Z162" s="7"/>
    </row>
    <row r="163">
      <c r="A163" s="73" t="s">
        <v>1260</v>
      </c>
      <c r="B163" s="73" t="s">
        <v>1262</v>
      </c>
      <c r="C163" s="73" t="s">
        <v>1263</v>
      </c>
      <c r="D163" s="73" t="s">
        <v>1265</v>
      </c>
      <c r="E163" s="73"/>
      <c r="F163" s="74" t="s">
        <v>1267</v>
      </c>
      <c r="G163" s="73" t="s">
        <v>1273</v>
      </c>
      <c r="H163" s="73"/>
      <c r="I163" s="73"/>
      <c r="J163" s="73"/>
      <c r="K163" s="73"/>
      <c r="L163" s="73"/>
      <c r="M163" s="73"/>
      <c r="N163" s="73"/>
      <c r="O163" s="73"/>
      <c r="P163" s="73"/>
      <c r="Q163" s="73"/>
      <c r="R163" s="73"/>
      <c r="S163" s="73"/>
      <c r="T163" s="73"/>
      <c r="U163" s="73"/>
      <c r="V163" s="73"/>
      <c r="W163" s="73"/>
      <c r="X163" s="73"/>
      <c r="Y163" s="73"/>
      <c r="Z163" s="73"/>
    </row>
    <row r="164">
      <c r="A164" s="7" t="s">
        <v>1274</v>
      </c>
      <c r="B164" s="7" t="s">
        <v>1275</v>
      </c>
      <c r="C164" s="7" t="s">
        <v>1276</v>
      </c>
      <c r="D164" s="7"/>
      <c r="E164" s="7"/>
      <c r="F164" s="7"/>
      <c r="G164" s="7"/>
      <c r="H164" s="7"/>
      <c r="I164" s="7"/>
      <c r="J164" s="7"/>
      <c r="K164" s="7"/>
      <c r="L164" s="7"/>
      <c r="M164" s="7"/>
      <c r="N164" s="7"/>
      <c r="O164" s="7"/>
      <c r="P164" s="7"/>
      <c r="Q164" s="7"/>
      <c r="R164" s="7"/>
      <c r="S164" s="7"/>
      <c r="T164" s="7"/>
      <c r="U164" s="7"/>
      <c r="V164" s="7"/>
      <c r="W164" s="7"/>
      <c r="X164" s="7"/>
      <c r="Y164" s="7"/>
      <c r="Z164" s="7"/>
    </row>
    <row r="165">
      <c r="A165" s="7" t="s">
        <v>1277</v>
      </c>
      <c r="B165" s="7" t="s">
        <v>87</v>
      </c>
      <c r="C165" s="7" t="s">
        <v>694</v>
      </c>
      <c r="D165" s="7" t="s">
        <v>1282</v>
      </c>
      <c r="E165" s="7"/>
      <c r="F165" s="33" t="s">
        <v>1285</v>
      </c>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15" t="s">
        <v>1289</v>
      </c>
      <c r="B168" s="15" t="s">
        <v>1290</v>
      </c>
      <c r="C168" s="15" t="s">
        <v>1291</v>
      </c>
      <c r="D168" s="15" t="s">
        <v>1292</v>
      </c>
      <c r="E168" s="15"/>
      <c r="F168" s="35" t="s">
        <v>1293</v>
      </c>
      <c r="G168" s="15" t="s">
        <v>1298</v>
      </c>
      <c r="H168" s="15"/>
      <c r="I168" s="15"/>
      <c r="J168" s="15"/>
      <c r="K168" s="15"/>
      <c r="L168" s="15"/>
      <c r="M168" s="15"/>
      <c r="N168" s="15"/>
      <c r="O168" s="15"/>
      <c r="P168" s="15"/>
      <c r="Q168" s="15"/>
      <c r="R168" s="15"/>
      <c r="S168" s="15"/>
      <c r="T168" s="15"/>
      <c r="U168" s="15"/>
      <c r="V168" s="15"/>
      <c r="W168" s="15"/>
      <c r="X168" s="15"/>
      <c r="Y168" s="15"/>
      <c r="Z168" s="15"/>
    </row>
    <row r="169">
      <c r="A169" s="73" t="s">
        <v>1299</v>
      </c>
      <c r="B169" s="73" t="s">
        <v>1300</v>
      </c>
      <c r="C169" s="73" t="s">
        <v>1301</v>
      </c>
      <c r="D169" s="73" t="s">
        <v>1302</v>
      </c>
      <c r="E169" s="73"/>
      <c r="F169" s="74" t="s">
        <v>1303</v>
      </c>
      <c r="G169" s="73" t="s">
        <v>503</v>
      </c>
      <c r="H169" s="73"/>
      <c r="I169" s="73"/>
      <c r="J169" s="73"/>
      <c r="K169" s="73"/>
      <c r="L169" s="73"/>
      <c r="M169" s="73"/>
      <c r="N169" s="73"/>
      <c r="O169" s="73"/>
      <c r="P169" s="73"/>
      <c r="Q169" s="73"/>
      <c r="R169" s="73"/>
      <c r="S169" s="73"/>
      <c r="T169" s="73"/>
      <c r="U169" s="73"/>
      <c r="V169" s="73"/>
      <c r="W169" s="73"/>
      <c r="X169" s="73"/>
      <c r="Y169" s="73"/>
      <c r="Z169" s="73"/>
    </row>
    <row r="170">
      <c r="A170" s="7" t="s">
        <v>1309</v>
      </c>
      <c r="B170" s="7" t="s">
        <v>1311</v>
      </c>
      <c r="C170" s="7" t="s">
        <v>1312</v>
      </c>
      <c r="D170" s="7" t="s">
        <v>1313</v>
      </c>
      <c r="E170" s="7"/>
      <c r="F170" s="33" t="s">
        <v>1316</v>
      </c>
      <c r="G170" s="7" t="s">
        <v>503</v>
      </c>
      <c r="H170" s="7"/>
      <c r="I170" s="7"/>
      <c r="J170" s="7"/>
      <c r="K170" s="7"/>
      <c r="L170" s="7"/>
      <c r="M170" s="7"/>
      <c r="N170" s="7"/>
      <c r="O170" s="7"/>
      <c r="P170" s="7"/>
      <c r="Q170" s="7"/>
      <c r="R170" s="7"/>
      <c r="S170" s="7"/>
      <c r="T170" s="7"/>
      <c r="U170" s="7"/>
      <c r="V170" s="7"/>
      <c r="W170" s="7"/>
      <c r="X170" s="7"/>
      <c r="Y170" s="7"/>
      <c r="Z170" s="7"/>
    </row>
    <row r="171">
      <c r="A171" s="7" t="s">
        <v>1068</v>
      </c>
      <c r="B171" s="7" t="s">
        <v>1320</v>
      </c>
      <c r="C171" s="7" t="s">
        <v>1069</v>
      </c>
      <c r="D171" s="55">
        <v>9.535635746E9</v>
      </c>
      <c r="E171" s="7"/>
      <c r="F171" s="7"/>
      <c r="G171" s="7" t="s">
        <v>503</v>
      </c>
      <c r="H171" s="7"/>
      <c r="I171" s="7"/>
      <c r="J171" s="7"/>
      <c r="K171" s="7"/>
      <c r="L171" s="7"/>
      <c r="M171" s="7"/>
      <c r="N171" s="7"/>
      <c r="O171" s="7"/>
      <c r="P171" s="7"/>
      <c r="Q171" s="7"/>
      <c r="R171" s="7"/>
      <c r="S171" s="7"/>
      <c r="T171" s="7"/>
      <c r="U171" s="7"/>
      <c r="V171" s="7"/>
      <c r="W171" s="7"/>
      <c r="X171" s="7"/>
      <c r="Y171" s="7"/>
      <c r="Z171" s="7"/>
    </row>
    <row r="172">
      <c r="A172" s="15" t="s">
        <v>1322</v>
      </c>
      <c r="B172" s="15" t="s">
        <v>1323</v>
      </c>
      <c r="C172" s="15" t="s">
        <v>1324</v>
      </c>
      <c r="D172" s="15" t="s">
        <v>1325</v>
      </c>
      <c r="E172" s="15"/>
      <c r="F172" s="35" t="s">
        <v>1326</v>
      </c>
      <c r="G172" s="15" t="s">
        <v>1331</v>
      </c>
      <c r="H172" s="15"/>
      <c r="I172" s="15"/>
      <c r="J172" s="15"/>
      <c r="K172" s="15"/>
      <c r="L172" s="15"/>
      <c r="M172" s="15"/>
      <c r="N172" s="15"/>
      <c r="O172" s="15"/>
      <c r="P172" s="15"/>
      <c r="Q172" s="15"/>
      <c r="R172" s="15"/>
      <c r="S172" s="15"/>
      <c r="T172" s="15"/>
      <c r="U172" s="15"/>
      <c r="V172" s="15"/>
      <c r="W172" s="15"/>
      <c r="X172" s="15"/>
      <c r="Y172" s="15"/>
      <c r="Z172" s="15"/>
    </row>
    <row r="173">
      <c r="A173" s="7" t="s">
        <v>1332</v>
      </c>
      <c r="B173" s="7" t="s">
        <v>1333</v>
      </c>
      <c r="C173" s="7" t="s">
        <v>716</v>
      </c>
      <c r="D173" s="7"/>
      <c r="E173" s="7"/>
      <c r="F173" s="33" t="s">
        <v>1334</v>
      </c>
      <c r="G173" s="7"/>
      <c r="H173" s="7"/>
      <c r="I173" s="7"/>
      <c r="J173" s="7"/>
      <c r="K173" s="7"/>
      <c r="L173" s="7"/>
      <c r="M173" s="7"/>
      <c r="N173" s="7"/>
      <c r="O173" s="7"/>
      <c r="P173" s="7"/>
      <c r="Q173" s="7"/>
      <c r="R173" s="7"/>
      <c r="S173" s="7"/>
      <c r="T173" s="7"/>
      <c r="U173" s="7"/>
      <c r="V173" s="7"/>
      <c r="W173" s="7"/>
      <c r="X173" s="7"/>
      <c r="Y173" s="7"/>
      <c r="Z173" s="7"/>
    </row>
    <row r="174">
      <c r="A174" s="7" t="s">
        <v>1339</v>
      </c>
      <c r="B174" s="7" t="s">
        <v>1340</v>
      </c>
      <c r="C174" s="7" t="s">
        <v>1312</v>
      </c>
      <c r="D174" s="7"/>
      <c r="E174" s="7"/>
      <c r="F174" s="7"/>
      <c r="G174" s="7"/>
      <c r="H174" s="7"/>
      <c r="I174" s="7"/>
      <c r="J174" s="7"/>
      <c r="K174" s="7"/>
      <c r="L174" s="7"/>
      <c r="M174" s="7"/>
      <c r="N174" s="7"/>
      <c r="O174" s="7"/>
      <c r="P174" s="7"/>
      <c r="Q174" s="7"/>
      <c r="R174" s="7"/>
      <c r="S174" s="7"/>
      <c r="T174" s="7"/>
      <c r="U174" s="7"/>
      <c r="V174" s="7"/>
      <c r="W174" s="7"/>
      <c r="X174" s="7"/>
      <c r="Y174" s="7"/>
      <c r="Z174" s="7"/>
    </row>
    <row r="175">
      <c r="A175" s="7" t="s">
        <v>181</v>
      </c>
      <c r="B175" s="7" t="s">
        <v>1341</v>
      </c>
      <c r="C175" s="7" t="s">
        <v>182</v>
      </c>
      <c r="D175" s="7"/>
      <c r="E175" s="7"/>
      <c r="F175" s="33" t="s">
        <v>185</v>
      </c>
      <c r="G175" s="7"/>
      <c r="H175" s="7"/>
      <c r="I175" s="7"/>
      <c r="J175" s="7"/>
      <c r="K175" s="7"/>
      <c r="L175" s="7"/>
      <c r="M175" s="7"/>
      <c r="N175" s="7"/>
      <c r="O175" s="7"/>
      <c r="P175" s="7"/>
      <c r="Q175" s="7"/>
      <c r="R175" s="7"/>
      <c r="S175" s="7"/>
      <c r="T175" s="7"/>
      <c r="U175" s="7"/>
      <c r="V175" s="7"/>
      <c r="W175" s="7"/>
      <c r="X175" s="7"/>
      <c r="Y175" s="7"/>
      <c r="Z175" s="7"/>
    </row>
    <row r="176">
      <c r="A176" s="7" t="s">
        <v>1343</v>
      </c>
      <c r="B176" s="7" t="s">
        <v>533</v>
      </c>
      <c r="C176" s="7" t="s">
        <v>1344</v>
      </c>
      <c r="D176" s="7"/>
      <c r="E176" s="7"/>
      <c r="F176" s="7"/>
      <c r="G176" s="7"/>
      <c r="H176" s="7"/>
      <c r="I176" s="7"/>
      <c r="J176" s="7"/>
      <c r="K176" s="7"/>
      <c r="L176" s="7"/>
      <c r="M176" s="7"/>
      <c r="N176" s="7"/>
      <c r="O176" s="7"/>
      <c r="P176" s="7"/>
      <c r="Q176" s="7"/>
      <c r="R176" s="7"/>
      <c r="S176" s="7"/>
      <c r="T176" s="7"/>
      <c r="U176" s="7"/>
      <c r="V176" s="7"/>
      <c r="W176" s="7"/>
      <c r="X176" s="7"/>
      <c r="Y176" s="7"/>
      <c r="Z176" s="7"/>
    </row>
    <row r="177">
      <c r="A177" s="7" t="s">
        <v>1350</v>
      </c>
      <c r="B177" s="7" t="s">
        <v>1351</v>
      </c>
      <c r="C177" s="7" t="s">
        <v>1352</v>
      </c>
      <c r="D177" s="7"/>
      <c r="E177" s="7"/>
      <c r="F177" s="7"/>
      <c r="G177" s="7"/>
      <c r="H177" s="7"/>
      <c r="I177" s="7"/>
      <c r="J177" s="7"/>
      <c r="K177" s="7"/>
      <c r="L177" s="7"/>
      <c r="M177" s="7"/>
      <c r="N177" s="7"/>
      <c r="O177" s="7"/>
      <c r="P177" s="7"/>
      <c r="Q177" s="7"/>
      <c r="R177" s="7"/>
      <c r="S177" s="7"/>
      <c r="T177" s="7"/>
      <c r="U177" s="7"/>
      <c r="V177" s="7"/>
      <c r="W177" s="7"/>
      <c r="X177" s="7"/>
      <c r="Y177" s="7"/>
      <c r="Z177" s="7"/>
    </row>
    <row r="178">
      <c r="A178" s="7" t="s">
        <v>1353</v>
      </c>
      <c r="B178" s="7" t="s">
        <v>1354</v>
      </c>
      <c r="C178" s="7" t="s">
        <v>1355</v>
      </c>
      <c r="D178" s="7" t="s">
        <v>1356</v>
      </c>
      <c r="E178" s="7"/>
      <c r="F178" s="33" t="s">
        <v>1357</v>
      </c>
      <c r="G178" s="7"/>
      <c r="H178" s="7"/>
      <c r="I178" s="7"/>
      <c r="J178" s="7"/>
      <c r="K178" s="7"/>
      <c r="L178" s="7"/>
      <c r="M178" s="7"/>
      <c r="N178" s="7"/>
      <c r="O178" s="7"/>
      <c r="P178" s="7"/>
      <c r="Q178" s="7"/>
      <c r="R178" s="7"/>
      <c r="S178" s="7"/>
      <c r="T178" s="7"/>
      <c r="U178" s="7"/>
      <c r="V178" s="7"/>
      <c r="W178" s="7"/>
      <c r="X178" s="7"/>
      <c r="Y178" s="7"/>
      <c r="Z178" s="7"/>
    </row>
    <row r="179">
      <c r="A179" s="7" t="s">
        <v>1363</v>
      </c>
      <c r="B179" s="7" t="s">
        <v>1364</v>
      </c>
      <c r="C179" s="7" t="s">
        <v>1365</v>
      </c>
      <c r="D179" s="55">
        <f>919654307514</f>
        <v>919654307514</v>
      </c>
      <c r="E179" s="7"/>
      <c r="F179" s="33" t="s">
        <v>1369</v>
      </c>
      <c r="G179" s="7" t="s">
        <v>503</v>
      </c>
      <c r="H179" s="7"/>
      <c r="I179" s="7"/>
      <c r="J179" s="7"/>
      <c r="K179" s="7"/>
      <c r="L179" s="7"/>
      <c r="M179" s="7"/>
      <c r="N179" s="7"/>
      <c r="O179" s="7"/>
      <c r="P179" s="7"/>
      <c r="Q179" s="7"/>
      <c r="R179" s="7"/>
      <c r="S179" s="7"/>
      <c r="T179" s="7"/>
      <c r="U179" s="7"/>
      <c r="V179" s="7"/>
      <c r="W179" s="7"/>
      <c r="X179" s="7"/>
      <c r="Y179" s="7"/>
      <c r="Z179" s="7"/>
    </row>
    <row r="180">
      <c r="A180" s="7" t="s">
        <v>1371</v>
      </c>
      <c r="B180" s="7" t="s">
        <v>1351</v>
      </c>
      <c r="C180" s="7" t="s">
        <v>380</v>
      </c>
      <c r="D180" s="7"/>
      <c r="E180" s="7"/>
      <c r="F180" s="7"/>
      <c r="G180" s="7"/>
      <c r="H180" s="7"/>
      <c r="I180" s="7"/>
      <c r="J180" s="7"/>
      <c r="K180" s="7"/>
      <c r="L180" s="7"/>
      <c r="M180" s="7"/>
      <c r="N180" s="7"/>
      <c r="O180" s="7"/>
      <c r="P180" s="7"/>
      <c r="Q180" s="7"/>
      <c r="R180" s="7"/>
      <c r="S180" s="7"/>
      <c r="T180" s="7"/>
      <c r="U180" s="7"/>
      <c r="V180" s="7"/>
      <c r="W180" s="7"/>
      <c r="X180" s="7"/>
      <c r="Y180" s="7"/>
      <c r="Z180" s="7"/>
    </row>
    <row r="181">
      <c r="A181" s="7" t="s">
        <v>1375</v>
      </c>
      <c r="B181" s="7" t="s">
        <v>1259</v>
      </c>
      <c r="C181" s="7" t="s">
        <v>1376</v>
      </c>
      <c r="D181" s="55">
        <f>919900452254</f>
        <v>919900452254</v>
      </c>
      <c r="E181" s="7"/>
      <c r="F181" s="33" t="s">
        <v>1377</v>
      </c>
      <c r="G181" s="7"/>
      <c r="H181" s="7"/>
      <c r="I181" s="7"/>
      <c r="J181" s="7"/>
      <c r="K181" s="7"/>
      <c r="L181" s="7"/>
      <c r="M181" s="7"/>
      <c r="N181" s="7"/>
      <c r="O181" s="7"/>
      <c r="P181" s="7"/>
      <c r="Q181" s="7"/>
      <c r="R181" s="7"/>
      <c r="S181" s="7"/>
      <c r="T181" s="7"/>
      <c r="U181" s="7"/>
      <c r="V181" s="7"/>
      <c r="W181" s="7"/>
      <c r="X181" s="7"/>
      <c r="Y181" s="7"/>
      <c r="Z181" s="7"/>
    </row>
    <row r="182">
      <c r="A182" s="15" t="s">
        <v>1383</v>
      </c>
      <c r="B182" s="15" t="s">
        <v>222</v>
      </c>
      <c r="C182" s="15" t="s">
        <v>1384</v>
      </c>
      <c r="D182" s="54">
        <f>919945200775</f>
        <v>919945200775</v>
      </c>
      <c r="E182" s="15"/>
      <c r="F182" s="35" t="s">
        <v>1385</v>
      </c>
      <c r="G182" s="15" t="s">
        <v>1386</v>
      </c>
      <c r="H182" s="15"/>
      <c r="I182" s="15"/>
      <c r="J182" s="15"/>
      <c r="K182" s="15"/>
      <c r="L182" s="15"/>
      <c r="M182" s="15"/>
      <c r="N182" s="15"/>
      <c r="O182" s="15"/>
      <c r="P182" s="15"/>
      <c r="Q182" s="15"/>
      <c r="R182" s="15"/>
      <c r="S182" s="15"/>
      <c r="T182" s="15"/>
      <c r="U182" s="15"/>
      <c r="V182" s="15"/>
      <c r="W182" s="15"/>
      <c r="X182" s="15"/>
      <c r="Y182" s="15"/>
      <c r="Z182" s="15"/>
    </row>
    <row r="183">
      <c r="A183" s="7"/>
      <c r="B183" s="7"/>
      <c r="C183" s="7"/>
      <c r="D183" s="7"/>
      <c r="E183" s="7"/>
      <c r="F183" s="33" t="s">
        <v>1392</v>
      </c>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1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1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1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1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1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1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1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1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1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1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1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1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1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1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1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1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1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1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1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1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1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1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1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1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1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1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1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1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1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1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1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1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1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1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1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1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1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1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1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1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1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1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1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1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1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1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1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1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1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1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1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1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1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1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1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1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1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1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1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1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1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1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1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7" t="s">
        <v>1609</v>
      </c>
      <c r="B400" s="7"/>
      <c r="C400" s="78" t="s">
        <v>1619</v>
      </c>
      <c r="D400" s="7"/>
      <c r="E400" s="7"/>
      <c r="F400" s="7"/>
      <c r="G400" s="7"/>
      <c r="H400" s="7"/>
      <c r="I400" s="7"/>
      <c r="J400" s="7"/>
      <c r="K400" s="7"/>
      <c r="L400" s="7"/>
      <c r="M400" s="7"/>
      <c r="N400" s="7"/>
      <c r="O400" s="7"/>
      <c r="P400" s="7"/>
      <c r="Q400" s="7"/>
      <c r="R400" s="7"/>
      <c r="S400" s="7"/>
      <c r="T400" s="7"/>
      <c r="U400" s="7"/>
      <c r="V400" s="7"/>
      <c r="W400" s="7"/>
      <c r="X400" s="7"/>
      <c r="Y400" s="7"/>
      <c r="Z400" s="7"/>
    </row>
    <row r="401">
      <c r="A401" s="17" t="s">
        <v>1623</v>
      </c>
      <c r="B401" s="7"/>
      <c r="C401" s="78" t="s">
        <v>1624</v>
      </c>
      <c r="D401" s="7"/>
      <c r="E401" s="7"/>
      <c r="F401" s="7"/>
      <c r="G401" s="7"/>
      <c r="H401" s="7"/>
      <c r="I401" s="7"/>
      <c r="J401" s="7"/>
      <c r="K401" s="7"/>
      <c r="L401" s="7"/>
      <c r="M401" s="7"/>
      <c r="N401" s="7"/>
      <c r="O401" s="7"/>
      <c r="P401" s="7"/>
      <c r="Q401" s="7"/>
      <c r="R401" s="7"/>
      <c r="S401" s="7"/>
      <c r="T401" s="7"/>
      <c r="U401" s="7"/>
      <c r="V401" s="7"/>
      <c r="W401" s="7"/>
      <c r="X401" s="7"/>
      <c r="Y401" s="7"/>
      <c r="Z401" s="7"/>
    </row>
    <row r="402">
      <c r="A402" s="77" t="s">
        <v>1625</v>
      </c>
      <c r="B402" s="7"/>
      <c r="C402" s="78" t="s">
        <v>1627</v>
      </c>
      <c r="D402" s="7"/>
      <c r="E402" s="7"/>
      <c r="F402" s="7"/>
      <c r="G402" s="7"/>
      <c r="H402" s="7"/>
      <c r="I402" s="7"/>
      <c r="J402" s="7"/>
      <c r="K402" s="7"/>
      <c r="L402" s="7"/>
      <c r="M402" s="7"/>
      <c r="N402" s="7"/>
      <c r="O402" s="7"/>
      <c r="P402" s="7"/>
      <c r="Q402" s="7"/>
      <c r="R402" s="7"/>
      <c r="S402" s="7"/>
      <c r="T402" s="7"/>
      <c r="U402" s="7"/>
      <c r="V402" s="7"/>
      <c r="W402" s="7"/>
      <c r="X402" s="7"/>
      <c r="Y402" s="7"/>
      <c r="Z402" s="7"/>
    </row>
    <row r="403">
      <c r="A403" s="77" t="s">
        <v>1628</v>
      </c>
      <c r="B403" s="7"/>
      <c r="C403" s="9" t="s">
        <v>1633</v>
      </c>
      <c r="D403" s="7"/>
      <c r="E403" s="7"/>
      <c r="F403" s="7"/>
      <c r="G403" s="7"/>
      <c r="H403" s="7"/>
      <c r="I403" s="7"/>
      <c r="J403" s="7"/>
      <c r="K403" s="7"/>
      <c r="L403" s="7"/>
      <c r="M403" s="7"/>
      <c r="N403" s="7"/>
      <c r="O403" s="7"/>
      <c r="P403" s="7"/>
      <c r="Q403" s="7"/>
      <c r="R403" s="7"/>
      <c r="S403" s="7"/>
      <c r="T403" s="7"/>
      <c r="U403" s="7"/>
      <c r="V403" s="7"/>
      <c r="W403" s="7"/>
      <c r="X403" s="7"/>
      <c r="Y403" s="7"/>
      <c r="Z403" s="7"/>
    </row>
    <row r="404">
      <c r="A404" s="77" t="s">
        <v>1634</v>
      </c>
      <c r="B404" s="7"/>
      <c r="C404" s="78" t="s">
        <v>1640</v>
      </c>
      <c r="D404" s="7"/>
      <c r="E404" s="7"/>
      <c r="F404" s="7"/>
      <c r="G404" s="7"/>
      <c r="H404" s="7"/>
      <c r="I404" s="7"/>
      <c r="J404" s="7"/>
      <c r="K404" s="7"/>
      <c r="L404" s="7"/>
      <c r="M404" s="7"/>
      <c r="N404" s="7"/>
      <c r="O404" s="7"/>
      <c r="P404" s="7"/>
      <c r="Q404" s="7"/>
      <c r="R404" s="7"/>
      <c r="S404" s="7"/>
      <c r="T404" s="7"/>
      <c r="U404" s="7"/>
      <c r="V404" s="7"/>
      <c r="W404" s="7"/>
      <c r="X404" s="7"/>
      <c r="Y404" s="7"/>
      <c r="Z404" s="7"/>
    </row>
    <row r="405">
      <c r="A405" s="77" t="s">
        <v>1641</v>
      </c>
      <c r="B405" s="7"/>
      <c r="C405" s="78" t="s">
        <v>1646</v>
      </c>
      <c r="D405" s="7"/>
      <c r="E405" s="7"/>
      <c r="F405" s="7"/>
      <c r="G405" s="7"/>
      <c r="H405" s="7"/>
      <c r="I405" s="7"/>
      <c r="J405" s="7"/>
      <c r="K405" s="7"/>
      <c r="L405" s="7"/>
      <c r="M405" s="7"/>
      <c r="N405" s="7"/>
      <c r="O405" s="7"/>
      <c r="P405" s="7"/>
      <c r="Q405" s="7"/>
      <c r="R405" s="7"/>
      <c r="S405" s="7"/>
      <c r="T405" s="7"/>
      <c r="U405" s="7"/>
      <c r="V405" s="7"/>
      <c r="W405" s="7"/>
      <c r="X405" s="7"/>
      <c r="Y405" s="7"/>
      <c r="Z405" s="7"/>
    </row>
    <row r="406">
      <c r="A406" s="77" t="s">
        <v>1647</v>
      </c>
      <c r="B406" s="7"/>
      <c r="C406" s="78" t="s">
        <v>1649</v>
      </c>
      <c r="D406" s="7"/>
      <c r="E406" s="7"/>
      <c r="F406" s="7"/>
      <c r="G406" s="7"/>
      <c r="H406" s="7"/>
      <c r="I406" s="7"/>
      <c r="J406" s="7"/>
      <c r="K406" s="7"/>
      <c r="L406" s="7"/>
      <c r="M406" s="7"/>
      <c r="N406" s="7"/>
      <c r="O406" s="7"/>
      <c r="P406" s="7"/>
      <c r="Q406" s="7"/>
      <c r="R406" s="7"/>
      <c r="S406" s="7"/>
      <c r="T406" s="7"/>
      <c r="U406" s="7"/>
      <c r="V406" s="7"/>
      <c r="W406" s="7"/>
      <c r="X406" s="7"/>
      <c r="Y406" s="7"/>
      <c r="Z406" s="7"/>
    </row>
    <row r="407">
      <c r="A407" s="77" t="s">
        <v>1651</v>
      </c>
      <c r="B407" s="7"/>
      <c r="C407" s="78" t="s">
        <v>1654</v>
      </c>
      <c r="D407" s="7"/>
      <c r="E407" s="7"/>
      <c r="F407" s="7"/>
      <c r="G407" s="7"/>
      <c r="H407" s="7"/>
      <c r="I407" s="7"/>
      <c r="J407" s="7"/>
      <c r="K407" s="7"/>
      <c r="L407" s="7"/>
      <c r="M407" s="7"/>
      <c r="N407" s="7"/>
      <c r="O407" s="7"/>
      <c r="P407" s="7"/>
      <c r="Q407" s="7"/>
      <c r="R407" s="7"/>
      <c r="S407" s="7"/>
      <c r="T407" s="7"/>
      <c r="U407" s="7"/>
      <c r="V407" s="7"/>
      <c r="W407" s="7"/>
      <c r="X407" s="7"/>
      <c r="Y407" s="7"/>
      <c r="Z407" s="7"/>
    </row>
    <row r="408">
      <c r="A408" s="77" t="s">
        <v>1655</v>
      </c>
      <c r="B408" s="7"/>
      <c r="C408" s="81" t="s">
        <v>1215</v>
      </c>
      <c r="D408" s="7"/>
      <c r="E408" s="7"/>
      <c r="F408" s="7"/>
      <c r="G408" s="7"/>
      <c r="H408" s="7"/>
      <c r="I408" s="7"/>
      <c r="J408" s="7"/>
      <c r="K408" s="7"/>
      <c r="L408" s="7"/>
      <c r="M408" s="7"/>
      <c r="N408" s="7"/>
      <c r="O408" s="7"/>
      <c r="P408" s="7"/>
      <c r="Q408" s="7"/>
      <c r="R408" s="7"/>
      <c r="S408" s="7"/>
      <c r="T408" s="7"/>
      <c r="U408" s="7"/>
      <c r="V408" s="7"/>
      <c r="W408" s="7"/>
      <c r="X408" s="7"/>
      <c r="Y408" s="7"/>
      <c r="Z408" s="7"/>
    </row>
    <row r="409">
      <c r="A409" s="17" t="s">
        <v>1666</v>
      </c>
      <c r="B409" s="7"/>
      <c r="C409" s="9" t="s">
        <v>1667</v>
      </c>
      <c r="D409" s="7"/>
      <c r="E409" s="7"/>
      <c r="F409" s="7"/>
      <c r="G409" s="7"/>
      <c r="H409" s="7"/>
      <c r="I409" s="7"/>
      <c r="J409" s="7"/>
      <c r="K409" s="7"/>
      <c r="L409" s="7"/>
      <c r="M409" s="7"/>
      <c r="N409" s="7"/>
      <c r="O409" s="7"/>
      <c r="P409" s="7"/>
      <c r="Q409" s="7"/>
      <c r="R409" s="7"/>
      <c r="S409" s="7"/>
      <c r="T409" s="7"/>
      <c r="U409" s="7"/>
      <c r="V409" s="7"/>
      <c r="W409" s="7"/>
      <c r="X409" s="7"/>
      <c r="Y409" s="7"/>
      <c r="Z409" s="7"/>
    </row>
    <row r="410">
      <c r="A410" s="77" t="s">
        <v>1668</v>
      </c>
      <c r="B410" s="7"/>
      <c r="C410" s="9" t="s">
        <v>1673</v>
      </c>
      <c r="D410" s="7"/>
      <c r="E410" s="7"/>
      <c r="F410" s="7"/>
      <c r="G410" s="7"/>
      <c r="H410" s="7"/>
      <c r="I410" s="7"/>
      <c r="J410" s="7"/>
      <c r="K410" s="7"/>
      <c r="L410" s="7"/>
      <c r="M410" s="7"/>
      <c r="N410" s="7"/>
      <c r="O410" s="7"/>
      <c r="P410" s="7"/>
      <c r="Q410" s="7"/>
      <c r="R410" s="7"/>
      <c r="S410" s="7"/>
      <c r="T410" s="7"/>
      <c r="U410" s="7"/>
      <c r="V410" s="7"/>
      <c r="W410" s="7"/>
      <c r="X410" s="7"/>
      <c r="Y410" s="7"/>
      <c r="Z410" s="7"/>
    </row>
    <row r="411">
      <c r="A411" s="77" t="s">
        <v>1674</v>
      </c>
      <c r="B411" s="7"/>
      <c r="C411" s="81" t="s">
        <v>1682</v>
      </c>
      <c r="D411" s="7"/>
      <c r="E411" s="7"/>
      <c r="F411" s="7"/>
      <c r="G411" s="7"/>
      <c r="H411" s="7"/>
      <c r="I411" s="7"/>
      <c r="J411" s="7"/>
      <c r="K411" s="7"/>
      <c r="L411" s="7"/>
      <c r="M411" s="7"/>
      <c r="N411" s="7"/>
      <c r="O411" s="7"/>
      <c r="P411" s="7"/>
      <c r="Q411" s="7"/>
      <c r="R411" s="7"/>
      <c r="S411" s="7"/>
      <c r="T411" s="7"/>
      <c r="U411" s="7"/>
      <c r="V411" s="7"/>
      <c r="W411" s="7"/>
      <c r="X411" s="7"/>
      <c r="Y411" s="7"/>
      <c r="Z411" s="7"/>
    </row>
    <row r="412">
      <c r="A412" s="77" t="s">
        <v>1684</v>
      </c>
      <c r="B412" s="7"/>
      <c r="C412" s="78" t="s">
        <v>1686</v>
      </c>
      <c r="D412" s="7"/>
      <c r="E412" s="7"/>
      <c r="F412" s="7"/>
      <c r="G412" s="7"/>
      <c r="H412" s="7"/>
      <c r="I412" s="7"/>
      <c r="J412" s="7"/>
      <c r="K412" s="7"/>
      <c r="L412" s="7"/>
      <c r="M412" s="7"/>
      <c r="N412" s="7"/>
      <c r="O412" s="7"/>
      <c r="P412" s="7"/>
      <c r="Q412" s="7"/>
      <c r="R412" s="7"/>
      <c r="S412" s="7"/>
      <c r="T412" s="7"/>
      <c r="U412" s="7"/>
      <c r="V412" s="7"/>
      <c r="W412" s="7"/>
      <c r="X412" s="7"/>
      <c r="Y412" s="7"/>
      <c r="Z412" s="7"/>
    </row>
    <row r="413">
      <c r="A413" s="77" t="s">
        <v>1687</v>
      </c>
      <c r="B413" s="7"/>
      <c r="C413" s="9" t="s">
        <v>1688</v>
      </c>
      <c r="D413" s="7"/>
      <c r="E413" s="7"/>
      <c r="F413" s="7"/>
      <c r="G413" s="7"/>
      <c r="H413" s="7"/>
      <c r="I413" s="7"/>
      <c r="J413" s="7"/>
      <c r="K413" s="7"/>
      <c r="L413" s="7"/>
      <c r="M413" s="7"/>
      <c r="N413" s="7"/>
      <c r="O413" s="7"/>
      <c r="P413" s="7"/>
      <c r="Q413" s="7"/>
      <c r="R413" s="7"/>
      <c r="S413" s="7"/>
      <c r="T413" s="7"/>
      <c r="U413" s="7"/>
      <c r="V413" s="7"/>
      <c r="W413" s="7"/>
      <c r="X413" s="7"/>
      <c r="Y413" s="7"/>
      <c r="Z413" s="7"/>
    </row>
    <row r="414">
      <c r="A414" s="17" t="s">
        <v>1689</v>
      </c>
      <c r="B414" s="7"/>
      <c r="C414" s="81" t="s">
        <v>1690</v>
      </c>
      <c r="D414" s="7"/>
      <c r="E414" s="7"/>
      <c r="F414" s="7"/>
      <c r="G414" s="7"/>
      <c r="H414" s="7"/>
      <c r="I414" s="7"/>
      <c r="J414" s="7"/>
      <c r="K414" s="7"/>
      <c r="L414" s="7"/>
      <c r="M414" s="7"/>
      <c r="N414" s="7"/>
      <c r="O414" s="7"/>
      <c r="P414" s="7"/>
      <c r="Q414" s="7"/>
      <c r="R414" s="7"/>
      <c r="S414" s="7"/>
      <c r="T414" s="7"/>
      <c r="U414" s="7"/>
      <c r="V414" s="7"/>
      <c r="W414" s="7"/>
      <c r="X414" s="7"/>
      <c r="Y414" s="7"/>
      <c r="Z414" s="7"/>
    </row>
    <row r="415">
      <c r="A415" s="77" t="s">
        <v>1691</v>
      </c>
      <c r="B415" s="7"/>
      <c r="C415" s="9" t="s">
        <v>1692</v>
      </c>
      <c r="D415" s="7"/>
      <c r="E415" s="7"/>
      <c r="F415" s="7"/>
      <c r="G415" s="7"/>
      <c r="H415" s="7"/>
      <c r="I415" s="7"/>
      <c r="J415" s="7"/>
      <c r="K415" s="7"/>
      <c r="L415" s="7"/>
      <c r="M415" s="7"/>
      <c r="N415" s="7"/>
      <c r="O415" s="7"/>
      <c r="P415" s="7"/>
      <c r="Q415" s="7"/>
      <c r="R415" s="7"/>
      <c r="S415" s="7"/>
      <c r="T415" s="7"/>
      <c r="U415" s="7"/>
      <c r="V415" s="7"/>
      <c r="W415" s="7"/>
      <c r="X415" s="7"/>
      <c r="Y415" s="7"/>
      <c r="Z415" s="7"/>
    </row>
    <row r="416">
      <c r="A416" s="17" t="s">
        <v>1693</v>
      </c>
      <c r="B416" s="7"/>
      <c r="C416" s="9" t="s">
        <v>1694</v>
      </c>
      <c r="D416" s="7"/>
      <c r="E416" s="7"/>
      <c r="F416" s="7"/>
      <c r="G416" s="7"/>
      <c r="H416" s="7"/>
      <c r="I416" s="7"/>
      <c r="J416" s="7"/>
      <c r="K416" s="7"/>
      <c r="L416" s="7"/>
      <c r="M416" s="7"/>
      <c r="N416" s="7"/>
      <c r="O416" s="7"/>
      <c r="P416" s="7"/>
      <c r="Q416" s="7"/>
      <c r="R416" s="7"/>
      <c r="S416" s="7"/>
      <c r="T416" s="7"/>
      <c r="U416" s="7"/>
      <c r="V416" s="7"/>
      <c r="W416" s="7"/>
      <c r="X416" s="7"/>
      <c r="Y416" s="7"/>
      <c r="Z416" s="7"/>
    </row>
    <row r="417">
      <c r="A417" s="17" t="s">
        <v>1695</v>
      </c>
      <c r="B417" s="7"/>
      <c r="C417" s="9" t="s">
        <v>1696</v>
      </c>
      <c r="D417" s="7"/>
      <c r="E417" s="7"/>
      <c r="F417" s="7"/>
      <c r="G417" s="7"/>
      <c r="H417" s="7"/>
      <c r="I417" s="7"/>
      <c r="J417" s="7"/>
      <c r="K417" s="7"/>
      <c r="L417" s="7"/>
      <c r="M417" s="7"/>
      <c r="N417" s="7"/>
      <c r="O417" s="7"/>
      <c r="P417" s="7"/>
      <c r="Q417" s="7"/>
      <c r="R417" s="7"/>
      <c r="S417" s="7"/>
      <c r="T417" s="7"/>
      <c r="U417" s="7"/>
      <c r="V417" s="7"/>
      <c r="W417" s="7"/>
      <c r="X417" s="7"/>
      <c r="Y417" s="7"/>
      <c r="Z417" s="7"/>
    </row>
    <row r="418">
      <c r="A418" s="77" t="s">
        <v>1697</v>
      </c>
      <c r="B418" s="7"/>
      <c r="C418" s="78" t="s">
        <v>1698</v>
      </c>
      <c r="D418" s="7"/>
      <c r="E418" s="7"/>
      <c r="F418" s="7"/>
      <c r="G418" s="7"/>
      <c r="H418" s="7"/>
      <c r="I418" s="7"/>
      <c r="J418" s="7"/>
      <c r="K418" s="7"/>
      <c r="L418" s="7"/>
      <c r="M418" s="7"/>
      <c r="N418" s="7"/>
      <c r="O418" s="7"/>
      <c r="P418" s="7"/>
      <c r="Q418" s="7"/>
      <c r="R418" s="7"/>
      <c r="S418" s="7"/>
      <c r="T418" s="7"/>
      <c r="U418" s="7"/>
      <c r="V418" s="7"/>
      <c r="W418" s="7"/>
      <c r="X418" s="7"/>
      <c r="Y418" s="7"/>
      <c r="Z418" s="7"/>
    </row>
    <row r="419">
      <c r="A419" s="17" t="s">
        <v>1699</v>
      </c>
      <c r="B419" s="7"/>
      <c r="C419" s="9" t="s">
        <v>1700</v>
      </c>
      <c r="D419" s="7"/>
      <c r="E419" s="7"/>
      <c r="F419" s="7"/>
      <c r="G419" s="7"/>
      <c r="H419" s="7"/>
      <c r="I419" s="7"/>
      <c r="J419" s="7"/>
      <c r="K419" s="7"/>
      <c r="L419" s="7"/>
      <c r="M419" s="7"/>
      <c r="N419" s="7"/>
      <c r="O419" s="7"/>
      <c r="P419" s="7"/>
      <c r="Q419" s="7"/>
      <c r="R419" s="7"/>
      <c r="S419" s="7"/>
      <c r="T419" s="7"/>
      <c r="U419" s="7"/>
      <c r="V419" s="7"/>
      <c r="W419" s="7"/>
      <c r="X419" s="7"/>
      <c r="Y419" s="7"/>
      <c r="Z419" s="7"/>
    </row>
    <row r="420">
      <c r="A420" s="17" t="s">
        <v>1701</v>
      </c>
      <c r="B420" s="7"/>
      <c r="C420" s="81" t="s">
        <v>1702</v>
      </c>
      <c r="D420" s="7"/>
      <c r="E420" s="7"/>
      <c r="F420" s="7"/>
      <c r="G420" s="7"/>
      <c r="H420" s="7"/>
      <c r="I420" s="7"/>
      <c r="J420" s="7"/>
      <c r="K420" s="7"/>
      <c r="L420" s="7"/>
      <c r="M420" s="7"/>
      <c r="N420" s="7"/>
      <c r="O420" s="7"/>
      <c r="P420" s="7"/>
      <c r="Q420" s="7"/>
      <c r="R420" s="7"/>
      <c r="S420" s="7"/>
      <c r="T420" s="7"/>
      <c r="U420" s="7"/>
      <c r="V420" s="7"/>
      <c r="W420" s="7"/>
      <c r="X420" s="7"/>
      <c r="Y420" s="7"/>
      <c r="Z420" s="7"/>
    </row>
    <row r="421">
      <c r="A421" s="17" t="s">
        <v>1703</v>
      </c>
      <c r="B421" s="7"/>
      <c r="C421" s="9" t="s">
        <v>1704</v>
      </c>
      <c r="D421" s="7"/>
      <c r="E421" s="7"/>
      <c r="F421" s="7"/>
      <c r="G421" s="7"/>
      <c r="H421" s="7"/>
      <c r="I421" s="7"/>
      <c r="J421" s="7"/>
      <c r="K421" s="7"/>
      <c r="L421" s="7"/>
      <c r="M421" s="7"/>
      <c r="N421" s="7"/>
      <c r="O421" s="7"/>
      <c r="P421" s="7"/>
      <c r="Q421" s="7"/>
      <c r="R421" s="7"/>
      <c r="S421" s="7"/>
      <c r="T421" s="7"/>
      <c r="U421" s="7"/>
      <c r="V421" s="7"/>
      <c r="W421" s="7"/>
      <c r="X421" s="7"/>
      <c r="Y421" s="7"/>
      <c r="Z421" s="7"/>
    </row>
    <row r="422">
      <c r="A422" s="17" t="s">
        <v>1705</v>
      </c>
      <c r="B422" s="7"/>
      <c r="C422" s="9" t="s">
        <v>1706</v>
      </c>
      <c r="D422" s="7"/>
      <c r="E422" s="7"/>
      <c r="F422" s="7"/>
      <c r="G422" s="7"/>
      <c r="H422" s="7"/>
      <c r="I422" s="7"/>
      <c r="J422" s="7"/>
      <c r="K422" s="7"/>
      <c r="L422" s="7"/>
      <c r="M422" s="7"/>
      <c r="N422" s="7"/>
      <c r="O422" s="7"/>
      <c r="P422" s="7"/>
      <c r="Q422" s="7"/>
      <c r="R422" s="7"/>
      <c r="S422" s="7"/>
      <c r="T422" s="7"/>
      <c r="U422" s="7"/>
      <c r="V422" s="7"/>
      <c r="W422" s="7"/>
      <c r="X422" s="7"/>
      <c r="Y422" s="7"/>
      <c r="Z422" s="7"/>
    </row>
    <row r="423">
      <c r="A423" s="17" t="s">
        <v>1707</v>
      </c>
      <c r="B423" s="7"/>
      <c r="C423" s="9" t="s">
        <v>1708</v>
      </c>
      <c r="D423" s="7"/>
      <c r="E423" s="7"/>
      <c r="F423" s="7"/>
      <c r="G423" s="7"/>
      <c r="H423" s="7"/>
      <c r="I423" s="7"/>
      <c r="J423" s="7"/>
      <c r="K423" s="7"/>
      <c r="L423" s="7"/>
      <c r="M423" s="7"/>
      <c r="N423" s="7"/>
      <c r="O423" s="7"/>
      <c r="P423" s="7"/>
      <c r="Q423" s="7"/>
      <c r="R423" s="7"/>
      <c r="S423" s="7"/>
      <c r="T423" s="7"/>
      <c r="U423" s="7"/>
      <c r="V423" s="7"/>
      <c r="W423" s="7"/>
      <c r="X423" s="7"/>
      <c r="Y423" s="7"/>
      <c r="Z423" s="7"/>
    </row>
    <row r="424">
      <c r="A424" s="17" t="s">
        <v>1709</v>
      </c>
      <c r="B424" s="7"/>
      <c r="C424" s="9" t="s">
        <v>1710</v>
      </c>
      <c r="D424" s="7"/>
      <c r="E424" s="7"/>
      <c r="F424" s="7"/>
      <c r="G424" s="7"/>
      <c r="H424" s="7"/>
      <c r="I424" s="7"/>
      <c r="J424" s="7"/>
      <c r="K424" s="7"/>
      <c r="L424" s="7"/>
      <c r="M424" s="7"/>
      <c r="N424" s="7"/>
      <c r="O424" s="7"/>
      <c r="P424" s="7"/>
      <c r="Q424" s="7"/>
      <c r="R424" s="7"/>
      <c r="S424" s="7"/>
      <c r="T424" s="7"/>
      <c r="U424" s="7"/>
      <c r="V424" s="7"/>
      <c r="W424" s="7"/>
      <c r="X424" s="7"/>
      <c r="Y424" s="7"/>
      <c r="Z424" s="7"/>
    </row>
    <row r="425">
      <c r="A425" s="17" t="s">
        <v>1711</v>
      </c>
      <c r="B425" s="7"/>
      <c r="C425" s="9" t="s">
        <v>1712</v>
      </c>
      <c r="D425" s="7"/>
      <c r="E425" s="7"/>
      <c r="F425" s="7"/>
      <c r="G425" s="7"/>
      <c r="H425" s="7"/>
      <c r="I425" s="7"/>
      <c r="J425" s="7"/>
      <c r="K425" s="7"/>
      <c r="L425" s="7"/>
      <c r="M425" s="7"/>
      <c r="N425" s="7"/>
      <c r="O425" s="7"/>
      <c r="P425" s="7"/>
      <c r="Q425" s="7"/>
      <c r="R425" s="7"/>
      <c r="S425" s="7"/>
      <c r="T425" s="7"/>
      <c r="U425" s="7"/>
      <c r="V425" s="7"/>
      <c r="W425" s="7"/>
      <c r="X425" s="7"/>
      <c r="Y425" s="7"/>
      <c r="Z425" s="7"/>
    </row>
    <row r="426">
      <c r="A426" s="17" t="s">
        <v>1713</v>
      </c>
      <c r="B426" s="7"/>
      <c r="C426" s="78" t="s">
        <v>1714</v>
      </c>
      <c r="D426" s="7"/>
      <c r="E426" s="7"/>
      <c r="F426" s="7"/>
      <c r="G426" s="7"/>
      <c r="H426" s="7"/>
      <c r="I426" s="7"/>
      <c r="J426" s="7"/>
      <c r="K426" s="7"/>
      <c r="L426" s="7"/>
      <c r="M426" s="7"/>
      <c r="N426" s="7"/>
      <c r="O426" s="7"/>
      <c r="P426" s="7"/>
      <c r="Q426" s="7"/>
      <c r="R426" s="7"/>
      <c r="S426" s="7"/>
      <c r="T426" s="7"/>
      <c r="U426" s="7"/>
      <c r="V426" s="7"/>
      <c r="W426" s="7"/>
      <c r="X426" s="7"/>
      <c r="Y426" s="7"/>
      <c r="Z426" s="7"/>
    </row>
    <row r="427">
      <c r="A427" s="17" t="s">
        <v>1715</v>
      </c>
      <c r="B427" s="7"/>
      <c r="C427" s="78" t="s">
        <v>1716</v>
      </c>
      <c r="D427" s="7"/>
      <c r="E427" s="7"/>
      <c r="F427" s="7"/>
      <c r="G427" s="7"/>
      <c r="H427" s="7"/>
      <c r="I427" s="7"/>
      <c r="J427" s="7"/>
      <c r="K427" s="7"/>
      <c r="L427" s="7"/>
      <c r="M427" s="7"/>
      <c r="N427" s="7"/>
      <c r="O427" s="7"/>
      <c r="P427" s="7"/>
      <c r="Q427" s="7"/>
      <c r="R427" s="7"/>
      <c r="S427" s="7"/>
      <c r="T427" s="7"/>
      <c r="U427" s="7"/>
      <c r="V427" s="7"/>
      <c r="W427" s="7"/>
      <c r="X427" s="7"/>
      <c r="Y427" s="7"/>
      <c r="Z427" s="7"/>
    </row>
    <row r="428">
      <c r="A428" s="17" t="s">
        <v>1717</v>
      </c>
      <c r="B428" s="7"/>
      <c r="C428" s="78" t="s">
        <v>1718</v>
      </c>
      <c r="D428" s="7"/>
      <c r="E428" s="7"/>
      <c r="F428" s="7"/>
      <c r="G428" s="7"/>
      <c r="H428" s="7"/>
      <c r="I428" s="7"/>
      <c r="J428" s="7"/>
      <c r="K428" s="7"/>
      <c r="L428" s="7"/>
      <c r="M428" s="7"/>
      <c r="N428" s="7"/>
      <c r="O428" s="7"/>
      <c r="P428" s="7"/>
      <c r="Q428" s="7"/>
      <c r="R428" s="7"/>
      <c r="S428" s="7"/>
      <c r="T428" s="7"/>
      <c r="U428" s="7"/>
      <c r="V428" s="7"/>
      <c r="W428" s="7"/>
      <c r="X428" s="7"/>
      <c r="Y428" s="7"/>
      <c r="Z428" s="7"/>
    </row>
    <row r="429">
      <c r="A429" s="17" t="s">
        <v>1719</v>
      </c>
      <c r="B429" s="7"/>
      <c r="C429" s="81" t="s">
        <v>1720</v>
      </c>
      <c r="D429" s="7"/>
      <c r="E429" s="7"/>
      <c r="F429" s="7"/>
      <c r="G429" s="7"/>
      <c r="H429" s="7"/>
      <c r="I429" s="7"/>
      <c r="J429" s="7"/>
      <c r="K429" s="7"/>
      <c r="L429" s="7"/>
      <c r="M429" s="7"/>
      <c r="N429" s="7"/>
      <c r="O429" s="7"/>
      <c r="P429" s="7"/>
      <c r="Q429" s="7"/>
      <c r="R429" s="7"/>
      <c r="S429" s="7"/>
      <c r="T429" s="7"/>
      <c r="U429" s="7"/>
      <c r="V429" s="7"/>
      <c r="W429" s="7"/>
      <c r="X429" s="7"/>
      <c r="Y429" s="7"/>
      <c r="Z429" s="7"/>
    </row>
    <row r="430">
      <c r="A430" s="17" t="s">
        <v>1721</v>
      </c>
      <c r="B430" s="7"/>
      <c r="C430" s="78" t="s">
        <v>1722</v>
      </c>
      <c r="D430" s="7"/>
      <c r="E430" s="7"/>
      <c r="F430" s="7"/>
      <c r="G430" s="7"/>
      <c r="H430" s="7"/>
      <c r="I430" s="7"/>
      <c r="J430" s="7"/>
      <c r="K430" s="7"/>
      <c r="L430" s="7"/>
      <c r="M430" s="7"/>
      <c r="N430" s="7"/>
      <c r="O430" s="7"/>
      <c r="P430" s="7"/>
      <c r="Q430" s="7"/>
      <c r="R430" s="7"/>
      <c r="S430" s="7"/>
      <c r="T430" s="7"/>
      <c r="U430" s="7"/>
      <c r="V430" s="7"/>
      <c r="W430" s="7"/>
      <c r="X430" s="7"/>
      <c r="Y430" s="7"/>
      <c r="Z430" s="7"/>
    </row>
    <row r="431">
      <c r="A431" s="17" t="s">
        <v>1723</v>
      </c>
      <c r="B431" s="7"/>
      <c r="C431" s="9" t="s">
        <v>1724</v>
      </c>
      <c r="D431" s="7"/>
      <c r="E431" s="7"/>
      <c r="F431" s="7"/>
      <c r="G431" s="7"/>
      <c r="H431" s="7"/>
      <c r="I431" s="7"/>
      <c r="J431" s="7"/>
      <c r="K431" s="7"/>
      <c r="L431" s="7"/>
      <c r="M431" s="7"/>
      <c r="N431" s="7"/>
      <c r="O431" s="7"/>
      <c r="P431" s="7"/>
      <c r="Q431" s="7"/>
      <c r="R431" s="7"/>
      <c r="S431" s="7"/>
      <c r="T431" s="7"/>
      <c r="U431" s="7"/>
      <c r="V431" s="7"/>
      <c r="W431" s="7"/>
      <c r="X431" s="7"/>
      <c r="Y431" s="7"/>
      <c r="Z431" s="7"/>
    </row>
    <row r="432">
      <c r="A432" s="17" t="s">
        <v>1725</v>
      </c>
      <c r="B432" s="7"/>
      <c r="C432" s="82" t="s">
        <v>1120</v>
      </c>
      <c r="D432" s="7"/>
      <c r="E432" s="7"/>
      <c r="F432" s="7"/>
      <c r="G432" s="7"/>
      <c r="H432" s="7"/>
      <c r="I432" s="7"/>
      <c r="J432" s="7"/>
      <c r="K432" s="7"/>
      <c r="L432" s="7"/>
      <c r="M432" s="7"/>
      <c r="N432" s="7"/>
      <c r="O432" s="7"/>
      <c r="P432" s="7"/>
      <c r="Q432" s="7"/>
      <c r="R432" s="7"/>
      <c r="S432" s="7"/>
      <c r="T432" s="7"/>
      <c r="U432" s="7"/>
      <c r="V432" s="7"/>
      <c r="W432" s="7"/>
      <c r="X432" s="7"/>
      <c r="Y432" s="7"/>
      <c r="Z432" s="7"/>
    </row>
    <row r="433">
      <c r="A433" s="17" t="s">
        <v>1726</v>
      </c>
      <c r="B433" s="7"/>
      <c r="C433" s="82" t="s">
        <v>1727</v>
      </c>
      <c r="D433" s="7"/>
      <c r="E433" s="7"/>
      <c r="F433" s="7"/>
      <c r="G433" s="7"/>
      <c r="H433" s="7"/>
      <c r="I433" s="7"/>
      <c r="J433" s="7"/>
      <c r="K433" s="7"/>
      <c r="L433" s="7"/>
      <c r="M433" s="7"/>
      <c r="N433" s="7"/>
      <c r="O433" s="7"/>
      <c r="P433" s="7"/>
      <c r="Q433" s="7"/>
      <c r="R433" s="7"/>
      <c r="S433" s="7"/>
      <c r="T433" s="7"/>
      <c r="U433" s="7"/>
      <c r="V433" s="7"/>
      <c r="W433" s="7"/>
      <c r="X433" s="7"/>
      <c r="Y433" s="7"/>
      <c r="Z433" s="7"/>
    </row>
    <row r="434">
      <c r="A434" s="17" t="s">
        <v>1728</v>
      </c>
      <c r="B434" s="7"/>
      <c r="C434" s="83" t="s">
        <v>1729</v>
      </c>
      <c r="D434" s="7"/>
      <c r="E434" s="7"/>
      <c r="F434" s="7"/>
      <c r="G434" s="7"/>
      <c r="H434" s="7"/>
      <c r="I434" s="7"/>
      <c r="J434" s="7"/>
      <c r="K434" s="7"/>
      <c r="L434" s="7"/>
      <c r="M434" s="7"/>
      <c r="N434" s="7"/>
      <c r="O434" s="7"/>
      <c r="P434" s="7"/>
      <c r="Q434" s="7"/>
      <c r="R434" s="7"/>
      <c r="S434" s="7"/>
      <c r="T434" s="7"/>
      <c r="U434" s="7"/>
      <c r="V434" s="7"/>
      <c r="W434" s="7"/>
      <c r="X434" s="7"/>
      <c r="Y434" s="7"/>
      <c r="Z434" s="7"/>
    </row>
    <row r="435">
      <c r="A435" s="77" t="s">
        <v>1730</v>
      </c>
      <c r="B435" s="7"/>
      <c r="C435" s="83" t="s">
        <v>1731</v>
      </c>
      <c r="D435" s="7"/>
      <c r="E435" s="7"/>
      <c r="F435" s="7"/>
      <c r="G435" s="7"/>
      <c r="H435" s="7"/>
      <c r="I435" s="7"/>
      <c r="J435" s="7"/>
      <c r="K435" s="7"/>
      <c r="L435" s="7"/>
      <c r="M435" s="7"/>
      <c r="N435" s="7"/>
      <c r="O435" s="7"/>
      <c r="P435" s="7"/>
      <c r="Q435" s="7"/>
      <c r="R435" s="7"/>
      <c r="S435" s="7"/>
      <c r="T435" s="7"/>
      <c r="U435" s="7"/>
      <c r="V435" s="7"/>
      <c r="W435" s="7"/>
      <c r="X435" s="7"/>
      <c r="Y435" s="7"/>
      <c r="Z435" s="7"/>
    </row>
    <row r="436">
      <c r="A436" s="17" t="s">
        <v>1732</v>
      </c>
      <c r="B436" s="7"/>
      <c r="C436" s="83" t="s">
        <v>1733</v>
      </c>
      <c r="D436" s="7"/>
      <c r="E436" s="7"/>
      <c r="F436" s="7"/>
      <c r="G436" s="7"/>
      <c r="H436" s="7"/>
      <c r="I436" s="7"/>
      <c r="J436" s="7"/>
      <c r="K436" s="7"/>
      <c r="L436" s="7"/>
      <c r="M436" s="7"/>
      <c r="N436" s="7"/>
      <c r="O436" s="7"/>
      <c r="P436" s="7"/>
      <c r="Q436" s="7"/>
      <c r="R436" s="7"/>
      <c r="S436" s="7"/>
      <c r="T436" s="7"/>
      <c r="U436" s="7"/>
      <c r="V436" s="7"/>
      <c r="W436" s="7"/>
      <c r="X436" s="7"/>
      <c r="Y436" s="7"/>
      <c r="Z436" s="7"/>
    </row>
    <row r="437">
      <c r="A437" s="17" t="s">
        <v>1734</v>
      </c>
      <c r="B437" s="7"/>
      <c r="C437" s="78" t="s">
        <v>1735</v>
      </c>
      <c r="D437" s="7"/>
      <c r="E437" s="7"/>
      <c r="F437" s="7"/>
      <c r="G437" s="7"/>
      <c r="H437" s="7"/>
      <c r="I437" s="7"/>
      <c r="J437" s="7"/>
      <c r="K437" s="7"/>
      <c r="L437" s="7"/>
      <c r="M437" s="7"/>
      <c r="N437" s="7"/>
      <c r="O437" s="7"/>
      <c r="P437" s="7"/>
      <c r="Q437" s="7"/>
      <c r="R437" s="7"/>
      <c r="S437" s="7"/>
      <c r="T437" s="7"/>
      <c r="U437" s="7"/>
      <c r="V437" s="7"/>
      <c r="W437" s="7"/>
      <c r="X437" s="7"/>
      <c r="Y437" s="7"/>
      <c r="Z437" s="7"/>
    </row>
    <row r="438">
      <c r="A438" s="17" t="s">
        <v>1736</v>
      </c>
      <c r="B438" s="7"/>
      <c r="C438" s="9" t="s">
        <v>1737</v>
      </c>
      <c r="D438" s="7"/>
      <c r="E438" s="7"/>
      <c r="F438" s="7"/>
      <c r="G438" s="7"/>
      <c r="H438" s="7"/>
      <c r="I438" s="7"/>
      <c r="J438" s="7"/>
      <c r="K438" s="7"/>
      <c r="L438" s="7"/>
      <c r="M438" s="7"/>
      <c r="N438" s="7"/>
      <c r="O438" s="7"/>
      <c r="P438" s="7"/>
      <c r="Q438" s="7"/>
      <c r="R438" s="7"/>
      <c r="S438" s="7"/>
      <c r="T438" s="7"/>
      <c r="U438" s="7"/>
      <c r="V438" s="7"/>
      <c r="W438" s="7"/>
      <c r="X438" s="7"/>
      <c r="Y438" s="7"/>
      <c r="Z438" s="7"/>
    </row>
    <row r="439">
      <c r="A439" s="17" t="s">
        <v>1738</v>
      </c>
      <c r="B439" s="7"/>
      <c r="C439" s="82" t="s">
        <v>1218</v>
      </c>
      <c r="D439" s="7"/>
      <c r="E439" s="7"/>
      <c r="F439" s="7"/>
      <c r="G439" s="7"/>
      <c r="H439" s="7"/>
      <c r="I439" s="7"/>
      <c r="J439" s="7"/>
      <c r="K439" s="7"/>
      <c r="L439" s="7"/>
      <c r="M439" s="7"/>
      <c r="N439" s="7"/>
      <c r="O439" s="7"/>
      <c r="P439" s="7"/>
      <c r="Q439" s="7"/>
      <c r="R439" s="7"/>
      <c r="S439" s="7"/>
      <c r="T439" s="7"/>
      <c r="U439" s="7"/>
      <c r="V439" s="7"/>
      <c r="W439" s="7"/>
      <c r="X439" s="7"/>
      <c r="Y439" s="7"/>
      <c r="Z439" s="7"/>
    </row>
    <row r="440">
      <c r="A440" s="17" t="s">
        <v>1739</v>
      </c>
      <c r="B440" s="7"/>
      <c r="C440" s="82" t="s">
        <v>1740</v>
      </c>
      <c r="D440" s="7"/>
      <c r="E440" s="7"/>
      <c r="F440" s="7"/>
      <c r="G440" s="7"/>
      <c r="H440" s="7"/>
      <c r="I440" s="7"/>
      <c r="J440" s="7"/>
      <c r="K440" s="7"/>
      <c r="L440" s="7"/>
      <c r="M440" s="7"/>
      <c r="N440" s="7"/>
      <c r="O440" s="7"/>
      <c r="P440" s="7"/>
      <c r="Q440" s="7"/>
      <c r="R440" s="7"/>
      <c r="S440" s="7"/>
      <c r="T440" s="7"/>
      <c r="U440" s="7"/>
      <c r="V440" s="7"/>
      <c r="W440" s="7"/>
      <c r="X440" s="7"/>
      <c r="Y440" s="7"/>
      <c r="Z440" s="7"/>
    </row>
    <row r="441">
      <c r="A441" s="17" t="s">
        <v>1741</v>
      </c>
      <c r="B441" s="7"/>
      <c r="C441" s="83" t="s">
        <v>1742</v>
      </c>
      <c r="D441" s="7"/>
      <c r="E441" s="7"/>
      <c r="F441" s="7"/>
      <c r="G441" s="7"/>
      <c r="H441" s="7"/>
      <c r="I441" s="7"/>
      <c r="J441" s="7"/>
      <c r="K441" s="7"/>
      <c r="L441" s="7"/>
      <c r="M441" s="7"/>
      <c r="N441" s="7"/>
      <c r="O441" s="7"/>
      <c r="P441" s="7"/>
      <c r="Q441" s="7"/>
      <c r="R441" s="7"/>
      <c r="S441" s="7"/>
      <c r="T441" s="7"/>
      <c r="U441" s="7"/>
      <c r="V441" s="7"/>
      <c r="W441" s="7"/>
      <c r="X441" s="7"/>
      <c r="Y441" s="7"/>
      <c r="Z441" s="7"/>
    </row>
    <row r="442">
      <c r="A442" s="17" t="s">
        <v>1743</v>
      </c>
      <c r="B442" s="7"/>
      <c r="C442" s="83" t="s">
        <v>1744</v>
      </c>
      <c r="D442" s="7"/>
      <c r="E442" s="7"/>
      <c r="F442" s="7"/>
      <c r="G442" s="7"/>
      <c r="H442" s="7"/>
      <c r="I442" s="7"/>
      <c r="J442" s="7"/>
      <c r="K442" s="7"/>
      <c r="L442" s="7"/>
      <c r="M442" s="7"/>
      <c r="N442" s="7"/>
      <c r="O442" s="7"/>
      <c r="P442" s="7"/>
      <c r="Q442" s="7"/>
      <c r="R442" s="7"/>
      <c r="S442" s="7"/>
      <c r="T442" s="7"/>
      <c r="U442" s="7"/>
      <c r="V442" s="7"/>
      <c r="W442" s="7"/>
      <c r="X442" s="7"/>
      <c r="Y442" s="7"/>
      <c r="Z442" s="7"/>
    </row>
    <row r="443">
      <c r="A443" s="77" t="s">
        <v>1745</v>
      </c>
      <c r="B443" s="7"/>
      <c r="C443" s="83" t="s">
        <v>1746</v>
      </c>
      <c r="D443" s="7"/>
      <c r="E443" s="7"/>
      <c r="F443" s="7"/>
      <c r="G443" s="7"/>
      <c r="H443" s="7"/>
      <c r="I443" s="7"/>
      <c r="J443" s="7"/>
      <c r="K443" s="7"/>
      <c r="L443" s="7"/>
      <c r="M443" s="7"/>
      <c r="N443" s="7"/>
      <c r="O443" s="7"/>
      <c r="P443" s="7"/>
      <c r="Q443" s="7"/>
      <c r="R443" s="7"/>
      <c r="S443" s="7"/>
      <c r="T443" s="7"/>
      <c r="U443" s="7"/>
      <c r="V443" s="7"/>
      <c r="W443" s="7"/>
      <c r="X443" s="7"/>
      <c r="Y443" s="7"/>
      <c r="Z443" s="7"/>
    </row>
    <row r="444">
      <c r="A444" s="17" t="s">
        <v>1747</v>
      </c>
      <c r="B444" s="7"/>
      <c r="C444" s="83" t="s">
        <v>1748</v>
      </c>
      <c r="D444" s="7"/>
      <c r="E444" s="7"/>
      <c r="F444" s="7"/>
      <c r="G444" s="7"/>
      <c r="H444" s="7"/>
      <c r="I444" s="7"/>
      <c r="J444" s="7"/>
      <c r="K444" s="7"/>
      <c r="L444" s="7"/>
      <c r="M444" s="7"/>
      <c r="N444" s="7"/>
      <c r="O444" s="7"/>
      <c r="P444" s="7"/>
      <c r="Q444" s="7"/>
      <c r="R444" s="7"/>
      <c r="S444" s="7"/>
      <c r="T444" s="7"/>
      <c r="U444" s="7"/>
      <c r="V444" s="7"/>
      <c r="W444" s="7"/>
      <c r="X444" s="7"/>
      <c r="Y444" s="7"/>
      <c r="Z444" s="7"/>
    </row>
    <row r="445">
      <c r="A445" s="77" t="s">
        <v>1749</v>
      </c>
      <c r="B445" s="7"/>
      <c r="C445" s="9" t="s">
        <v>1750</v>
      </c>
      <c r="D445" s="7"/>
      <c r="E445" s="7"/>
      <c r="F445" s="7"/>
      <c r="G445" s="7"/>
      <c r="H445" s="7"/>
      <c r="I445" s="7"/>
      <c r="J445" s="7"/>
      <c r="K445" s="7"/>
      <c r="L445" s="7"/>
      <c r="M445" s="7"/>
      <c r="N445" s="7"/>
      <c r="O445" s="7"/>
      <c r="P445" s="7"/>
      <c r="Q445" s="7"/>
      <c r="R445" s="7"/>
      <c r="S445" s="7"/>
      <c r="T445" s="7"/>
      <c r="U445" s="7"/>
      <c r="V445" s="7"/>
      <c r="W445" s="7"/>
      <c r="X445" s="7"/>
      <c r="Y445" s="7"/>
      <c r="Z445" s="7"/>
    </row>
    <row r="446">
      <c r="A446" s="77" t="s">
        <v>1751</v>
      </c>
      <c r="B446" s="7"/>
      <c r="C446" s="9" t="s">
        <v>1752</v>
      </c>
      <c r="D446" s="7"/>
      <c r="E446" s="7"/>
      <c r="F446" s="7"/>
      <c r="G446" s="7"/>
      <c r="H446" s="7"/>
      <c r="I446" s="7"/>
      <c r="J446" s="7"/>
      <c r="K446" s="7"/>
      <c r="L446" s="7"/>
      <c r="M446" s="7"/>
      <c r="N446" s="7"/>
      <c r="O446" s="7"/>
      <c r="P446" s="7"/>
      <c r="Q446" s="7"/>
      <c r="R446" s="7"/>
      <c r="S446" s="7"/>
      <c r="T446" s="7"/>
      <c r="U446" s="7"/>
      <c r="V446" s="7"/>
      <c r="W446" s="7"/>
      <c r="X446" s="7"/>
      <c r="Y446" s="7"/>
      <c r="Z446" s="7"/>
    </row>
    <row r="447">
      <c r="A447" s="77" t="s">
        <v>1753</v>
      </c>
      <c r="B447" s="7"/>
      <c r="C447" s="9" t="s">
        <v>1754</v>
      </c>
      <c r="D447" s="7"/>
      <c r="E447" s="7"/>
      <c r="F447" s="7"/>
      <c r="G447" s="7"/>
      <c r="H447" s="7"/>
      <c r="I447" s="7"/>
      <c r="J447" s="7"/>
      <c r="K447" s="7"/>
      <c r="L447" s="7"/>
      <c r="M447" s="7"/>
      <c r="N447" s="7"/>
      <c r="O447" s="7"/>
      <c r="P447" s="7"/>
      <c r="Q447" s="7"/>
      <c r="R447" s="7"/>
      <c r="S447" s="7"/>
      <c r="T447" s="7"/>
      <c r="U447" s="7"/>
      <c r="V447" s="7"/>
      <c r="W447" s="7"/>
      <c r="X447" s="7"/>
      <c r="Y447" s="7"/>
      <c r="Z447" s="7"/>
    </row>
    <row r="448">
      <c r="A448" s="77" t="s">
        <v>1755</v>
      </c>
      <c r="B448" s="7"/>
      <c r="C448" s="81" t="s">
        <v>1756</v>
      </c>
      <c r="D448" s="7"/>
      <c r="E448" s="7"/>
      <c r="F448" s="7"/>
      <c r="G448" s="7"/>
      <c r="H448" s="7"/>
      <c r="I448" s="7"/>
      <c r="J448" s="7"/>
      <c r="K448" s="7"/>
      <c r="L448" s="7"/>
      <c r="M448" s="7"/>
      <c r="N448" s="7"/>
      <c r="O448" s="7"/>
      <c r="P448" s="7"/>
      <c r="Q448" s="7"/>
      <c r="R448" s="7"/>
      <c r="S448" s="7"/>
      <c r="T448" s="7"/>
      <c r="U448" s="7"/>
      <c r="V448" s="7"/>
      <c r="W448" s="7"/>
      <c r="X448" s="7"/>
      <c r="Y448" s="7"/>
      <c r="Z448" s="7"/>
    </row>
    <row r="449">
      <c r="A449" s="17" t="s">
        <v>1757</v>
      </c>
      <c r="B449" s="7"/>
      <c r="C449" s="9" t="s">
        <v>1758</v>
      </c>
      <c r="D449" s="7"/>
      <c r="E449" s="7"/>
      <c r="F449" s="7"/>
      <c r="G449" s="7"/>
      <c r="H449" s="7"/>
      <c r="I449" s="7"/>
      <c r="J449" s="7"/>
      <c r="K449" s="7"/>
      <c r="L449" s="7"/>
      <c r="M449" s="7"/>
      <c r="N449" s="7"/>
      <c r="O449" s="7"/>
      <c r="P449" s="7"/>
      <c r="Q449" s="7"/>
      <c r="R449" s="7"/>
      <c r="S449" s="7"/>
      <c r="T449" s="7"/>
      <c r="U449" s="7"/>
      <c r="V449" s="7"/>
      <c r="W449" s="7"/>
      <c r="X449" s="7"/>
      <c r="Y449" s="7"/>
      <c r="Z449" s="7"/>
    </row>
    <row r="450">
      <c r="A450" s="77" t="s">
        <v>1759</v>
      </c>
      <c r="B450" s="7"/>
      <c r="C450" s="81" t="s">
        <v>1760</v>
      </c>
      <c r="D450" s="7"/>
      <c r="E450" s="7"/>
      <c r="F450" s="7"/>
      <c r="G450" s="7"/>
      <c r="H450" s="7"/>
      <c r="I450" s="7"/>
      <c r="J450" s="7"/>
      <c r="K450" s="7"/>
      <c r="L450" s="7"/>
      <c r="M450" s="7"/>
      <c r="N450" s="7"/>
      <c r="O450" s="7"/>
      <c r="P450" s="7"/>
      <c r="Q450" s="7"/>
      <c r="R450" s="7"/>
      <c r="S450" s="7"/>
      <c r="T450" s="7"/>
      <c r="U450" s="7"/>
      <c r="V450" s="7"/>
      <c r="W450" s="7"/>
      <c r="X450" s="7"/>
      <c r="Y450" s="7"/>
      <c r="Z450" s="7"/>
    </row>
    <row r="451">
      <c r="A451" s="17" t="s">
        <v>1761</v>
      </c>
      <c r="B451" s="7"/>
      <c r="C451" s="78" t="s">
        <v>1762</v>
      </c>
      <c r="D451" s="7"/>
      <c r="E451" s="7"/>
      <c r="F451" s="7"/>
      <c r="G451" s="7"/>
      <c r="H451" s="7"/>
      <c r="I451" s="7"/>
      <c r="J451" s="7"/>
      <c r="K451" s="7"/>
      <c r="L451" s="7"/>
      <c r="M451" s="7"/>
      <c r="N451" s="7"/>
      <c r="O451" s="7"/>
      <c r="P451" s="7"/>
      <c r="Q451" s="7"/>
      <c r="R451" s="7"/>
      <c r="S451" s="7"/>
      <c r="T451" s="7"/>
      <c r="U451" s="7"/>
      <c r="V451" s="7"/>
      <c r="W451" s="7"/>
      <c r="X451" s="7"/>
      <c r="Y451" s="7"/>
      <c r="Z451" s="7"/>
    </row>
    <row r="452">
      <c r="A452" s="17" t="s">
        <v>1763</v>
      </c>
      <c r="B452" s="7"/>
      <c r="C452" s="9" t="s">
        <v>1764</v>
      </c>
      <c r="D452" s="7"/>
      <c r="E452" s="7"/>
      <c r="F452" s="7"/>
      <c r="G452" s="7"/>
      <c r="H452" s="7"/>
      <c r="I452" s="7"/>
      <c r="J452" s="7"/>
      <c r="K452" s="7"/>
      <c r="L452" s="7"/>
      <c r="M452" s="7"/>
      <c r="N452" s="7"/>
      <c r="O452" s="7"/>
      <c r="P452" s="7"/>
      <c r="Q452" s="7"/>
      <c r="R452" s="7"/>
      <c r="S452" s="7"/>
      <c r="T452" s="7"/>
      <c r="U452" s="7"/>
      <c r="V452" s="7"/>
      <c r="W452" s="7"/>
      <c r="X452" s="7"/>
      <c r="Y452" s="7"/>
      <c r="Z452" s="7"/>
    </row>
    <row r="453">
      <c r="A453" s="17" t="s">
        <v>1765</v>
      </c>
      <c r="B453" s="7"/>
      <c r="C453" s="17"/>
      <c r="D453" s="7"/>
      <c r="E453" s="7"/>
      <c r="F453" s="7"/>
      <c r="G453" s="7"/>
      <c r="H453" s="7"/>
      <c r="I453" s="7"/>
      <c r="J453" s="7"/>
      <c r="K453" s="7"/>
      <c r="L453" s="7"/>
      <c r="M453" s="7"/>
      <c r="N453" s="7"/>
      <c r="O453" s="7"/>
      <c r="P453" s="7"/>
      <c r="Q453" s="7"/>
      <c r="R453" s="7"/>
      <c r="S453" s="7"/>
      <c r="T453" s="7"/>
      <c r="U453" s="7"/>
      <c r="V453" s="7"/>
      <c r="W453" s="7"/>
      <c r="X453" s="7"/>
      <c r="Y453" s="7"/>
      <c r="Z453" s="7"/>
    </row>
    <row r="454">
      <c r="A454" s="17" t="s">
        <v>1766</v>
      </c>
      <c r="B454" s="7"/>
      <c r="C454" s="9" t="s">
        <v>1767</v>
      </c>
      <c r="D454" s="7"/>
      <c r="E454" s="7"/>
      <c r="F454" s="7"/>
      <c r="G454" s="7"/>
      <c r="H454" s="7"/>
      <c r="I454" s="7"/>
      <c r="J454" s="7"/>
      <c r="K454" s="7"/>
      <c r="L454" s="7"/>
      <c r="M454" s="7"/>
      <c r="N454" s="7"/>
      <c r="O454" s="7"/>
      <c r="P454" s="7"/>
      <c r="Q454" s="7"/>
      <c r="R454" s="7"/>
      <c r="S454" s="7"/>
      <c r="T454" s="7"/>
      <c r="U454" s="7"/>
      <c r="V454" s="7"/>
      <c r="W454" s="7"/>
      <c r="X454" s="7"/>
      <c r="Y454" s="7"/>
      <c r="Z454" s="7"/>
    </row>
    <row r="455">
      <c r="A455" s="77" t="s">
        <v>1768</v>
      </c>
      <c r="B455" s="7"/>
      <c r="C455" s="9" t="s">
        <v>1769</v>
      </c>
      <c r="D455" s="7"/>
      <c r="E455" s="7"/>
      <c r="F455" s="7"/>
      <c r="G455" s="7"/>
      <c r="H455" s="7"/>
      <c r="I455" s="7"/>
      <c r="J455" s="7"/>
      <c r="K455" s="7"/>
      <c r="L455" s="7"/>
      <c r="M455" s="7"/>
      <c r="N455" s="7"/>
      <c r="O455" s="7"/>
      <c r="P455" s="7"/>
      <c r="Q455" s="7"/>
      <c r="R455" s="7"/>
      <c r="S455" s="7"/>
      <c r="T455" s="7"/>
      <c r="U455" s="7"/>
      <c r="V455" s="7"/>
      <c r="W455" s="7"/>
      <c r="X455" s="7"/>
      <c r="Y455" s="7"/>
      <c r="Z455" s="7"/>
    </row>
    <row r="456">
      <c r="A456" s="77" t="s">
        <v>1770</v>
      </c>
      <c r="B456" s="7"/>
      <c r="C456" s="84" t="s">
        <v>836</v>
      </c>
      <c r="D456" s="7"/>
      <c r="E456" s="7"/>
      <c r="F456" s="7"/>
      <c r="G456" s="7"/>
      <c r="H456" s="7"/>
      <c r="I456" s="7"/>
      <c r="J456" s="7"/>
      <c r="K456" s="7"/>
      <c r="L456" s="7"/>
      <c r="M456" s="7"/>
      <c r="N456" s="7"/>
      <c r="O456" s="7"/>
      <c r="P456" s="7"/>
      <c r="Q456" s="7"/>
      <c r="R456" s="7"/>
      <c r="S456" s="7"/>
      <c r="T456" s="7"/>
      <c r="U456" s="7"/>
      <c r="V456" s="7"/>
      <c r="W456" s="7"/>
      <c r="X456" s="7"/>
      <c r="Y456" s="7"/>
      <c r="Z456" s="7"/>
    </row>
    <row r="457">
      <c r="A457" s="77" t="s">
        <v>1771</v>
      </c>
      <c r="B457" s="7"/>
      <c r="C457" s="81" t="s">
        <v>1772</v>
      </c>
      <c r="D457" s="7"/>
      <c r="E457" s="7"/>
      <c r="F457" s="7"/>
      <c r="G457" s="7"/>
      <c r="H457" s="7"/>
      <c r="I457" s="7"/>
      <c r="J457" s="7"/>
      <c r="K457" s="7"/>
      <c r="L457" s="7"/>
      <c r="M457" s="7"/>
      <c r="N457" s="7"/>
      <c r="O457" s="7"/>
      <c r="P457" s="7"/>
      <c r="Q457" s="7"/>
      <c r="R457" s="7"/>
      <c r="S457" s="7"/>
      <c r="T457" s="7"/>
      <c r="U457" s="7"/>
      <c r="V457" s="7"/>
      <c r="W457" s="7"/>
      <c r="X457" s="7"/>
      <c r="Y457" s="7"/>
      <c r="Z457" s="7"/>
    </row>
    <row r="458">
      <c r="A458" s="77" t="s">
        <v>1773</v>
      </c>
      <c r="B458" s="7"/>
      <c r="C458" s="9" t="s">
        <v>1774</v>
      </c>
      <c r="D458" s="7"/>
      <c r="E458" s="7"/>
      <c r="F458" s="7"/>
      <c r="G458" s="7"/>
      <c r="H458" s="7"/>
      <c r="I458" s="7"/>
      <c r="J458" s="7"/>
      <c r="K458" s="7"/>
      <c r="L458" s="7"/>
      <c r="M458" s="7"/>
      <c r="N458" s="7"/>
      <c r="O458" s="7"/>
      <c r="P458" s="7"/>
      <c r="Q458" s="7"/>
      <c r="R458" s="7"/>
      <c r="S458" s="7"/>
      <c r="T458" s="7"/>
      <c r="U458" s="7"/>
      <c r="V458" s="7"/>
      <c r="W458" s="7"/>
      <c r="X458" s="7"/>
      <c r="Y458" s="7"/>
      <c r="Z458" s="7"/>
    </row>
    <row r="459">
      <c r="A459" s="77" t="s">
        <v>1775</v>
      </c>
      <c r="B459" s="7"/>
      <c r="C459" s="81" t="s">
        <v>1776</v>
      </c>
      <c r="D459" s="7"/>
      <c r="E459" s="7"/>
      <c r="F459" s="7"/>
      <c r="G459" s="7"/>
      <c r="H459" s="7"/>
      <c r="I459" s="7"/>
      <c r="J459" s="7"/>
      <c r="K459" s="7"/>
      <c r="L459" s="7"/>
      <c r="M459" s="7"/>
      <c r="N459" s="7"/>
      <c r="O459" s="7"/>
      <c r="P459" s="7"/>
      <c r="Q459" s="7"/>
      <c r="R459" s="7"/>
      <c r="S459" s="7"/>
      <c r="T459" s="7"/>
      <c r="U459" s="7"/>
      <c r="V459" s="7"/>
      <c r="W459" s="7"/>
      <c r="X459" s="7"/>
      <c r="Y459" s="7"/>
      <c r="Z459" s="7"/>
    </row>
    <row r="460">
      <c r="A460" s="77" t="s">
        <v>1777</v>
      </c>
      <c r="B460" s="7"/>
      <c r="C460" s="81" t="s">
        <v>1778</v>
      </c>
      <c r="D460" s="7"/>
      <c r="E460" s="7"/>
      <c r="F460" s="7"/>
      <c r="G460" s="7"/>
      <c r="H460" s="7"/>
      <c r="I460" s="7"/>
      <c r="J460" s="7"/>
      <c r="K460" s="7"/>
      <c r="L460" s="7"/>
      <c r="M460" s="7"/>
      <c r="N460" s="7"/>
      <c r="O460" s="7"/>
      <c r="P460" s="7"/>
      <c r="Q460" s="7"/>
      <c r="R460" s="7"/>
      <c r="S460" s="7"/>
      <c r="T460" s="7"/>
      <c r="U460" s="7"/>
      <c r="V460" s="7"/>
      <c r="W460" s="7"/>
      <c r="X460" s="7"/>
      <c r="Y460" s="7"/>
      <c r="Z460" s="7"/>
    </row>
    <row r="461">
      <c r="A461" s="77" t="s">
        <v>1779</v>
      </c>
      <c r="B461" s="7"/>
      <c r="C461" s="81" t="s">
        <v>1780</v>
      </c>
      <c r="D461" s="7"/>
      <c r="E461" s="7"/>
      <c r="F461" s="7"/>
      <c r="G461" s="7"/>
      <c r="H461" s="7"/>
      <c r="I461" s="7"/>
      <c r="J461" s="7"/>
      <c r="K461" s="7"/>
      <c r="L461" s="7"/>
      <c r="M461" s="7"/>
      <c r="N461" s="7"/>
      <c r="O461" s="7"/>
      <c r="P461" s="7"/>
      <c r="Q461" s="7"/>
      <c r="R461" s="7"/>
      <c r="S461" s="7"/>
      <c r="T461" s="7"/>
      <c r="U461" s="7"/>
      <c r="V461" s="7"/>
      <c r="W461" s="7"/>
      <c r="X461" s="7"/>
      <c r="Y461" s="7"/>
      <c r="Z461" s="7"/>
    </row>
    <row r="462">
      <c r="A462" s="77" t="s">
        <v>1781</v>
      </c>
      <c r="B462" s="7"/>
      <c r="C462" s="81" t="s">
        <v>1782</v>
      </c>
      <c r="D462" s="7"/>
      <c r="E462" s="7"/>
      <c r="F462" s="7"/>
      <c r="G462" s="7"/>
      <c r="H462" s="7"/>
      <c r="I462" s="7"/>
      <c r="J462" s="7"/>
      <c r="K462" s="7"/>
      <c r="L462" s="7"/>
      <c r="M462" s="7"/>
      <c r="N462" s="7"/>
      <c r="O462" s="7"/>
      <c r="P462" s="7"/>
      <c r="Q462" s="7"/>
      <c r="R462" s="7"/>
      <c r="S462" s="7"/>
      <c r="T462" s="7"/>
      <c r="U462" s="7"/>
      <c r="V462" s="7"/>
      <c r="W462" s="7"/>
      <c r="X462" s="7"/>
      <c r="Y462" s="7"/>
      <c r="Z462" s="7"/>
    </row>
    <row r="463">
      <c r="A463" s="77" t="s">
        <v>1783</v>
      </c>
      <c r="B463" s="7"/>
      <c r="C463" s="85" t="s">
        <v>1784</v>
      </c>
      <c r="D463" s="7"/>
      <c r="E463" s="7"/>
      <c r="F463" s="7"/>
      <c r="G463" s="7"/>
      <c r="H463" s="7"/>
      <c r="I463" s="7"/>
      <c r="J463" s="7"/>
      <c r="K463" s="7"/>
      <c r="L463" s="7"/>
      <c r="M463" s="7"/>
      <c r="N463" s="7"/>
      <c r="O463" s="7"/>
      <c r="P463" s="7"/>
      <c r="Q463" s="7"/>
      <c r="R463" s="7"/>
      <c r="S463" s="7"/>
      <c r="T463" s="7"/>
      <c r="U463" s="7"/>
      <c r="V463" s="7"/>
      <c r="W463" s="7"/>
      <c r="X463" s="7"/>
      <c r="Y463" s="7"/>
      <c r="Z463" s="7"/>
    </row>
    <row r="464">
      <c r="A464" s="77" t="s">
        <v>1785</v>
      </c>
      <c r="B464" s="7"/>
      <c r="C464" s="78" t="s">
        <v>1786</v>
      </c>
      <c r="D464" s="7"/>
      <c r="E464" s="7"/>
      <c r="F464" s="7"/>
      <c r="G464" s="7"/>
      <c r="H464" s="7"/>
      <c r="I464" s="7"/>
      <c r="J464" s="7"/>
      <c r="K464" s="7"/>
      <c r="L464" s="7"/>
      <c r="M464" s="7"/>
      <c r="N464" s="7"/>
      <c r="O464" s="7"/>
      <c r="P464" s="7"/>
      <c r="Q464" s="7"/>
      <c r="R464" s="7"/>
      <c r="S464" s="7"/>
      <c r="T464" s="7"/>
      <c r="U464" s="7"/>
      <c r="V464" s="7"/>
      <c r="W464" s="7"/>
      <c r="X464" s="7"/>
      <c r="Y464" s="7"/>
      <c r="Z464" s="7"/>
    </row>
    <row r="465">
      <c r="A465" s="77" t="s">
        <v>1787</v>
      </c>
      <c r="B465" s="7"/>
      <c r="C465" s="78" t="s">
        <v>1788</v>
      </c>
      <c r="D465" s="7"/>
      <c r="E465" s="7"/>
      <c r="F465" s="7"/>
      <c r="G465" s="7"/>
      <c r="H465" s="7"/>
      <c r="I465" s="7"/>
      <c r="J465" s="7"/>
      <c r="K465" s="7"/>
      <c r="L465" s="7"/>
      <c r="M465" s="7"/>
      <c r="N465" s="7"/>
      <c r="O465" s="7"/>
      <c r="P465" s="7"/>
      <c r="Q465" s="7"/>
      <c r="R465" s="7"/>
      <c r="S465" s="7"/>
      <c r="T465" s="7"/>
      <c r="U465" s="7"/>
      <c r="V465" s="7"/>
      <c r="W465" s="7"/>
      <c r="X465" s="7"/>
      <c r="Y465" s="7"/>
      <c r="Z465" s="7"/>
    </row>
    <row r="466">
      <c r="A466" s="77" t="s">
        <v>1789</v>
      </c>
      <c r="B466" s="7"/>
      <c r="C466" s="81" t="s">
        <v>1790</v>
      </c>
      <c r="D466" s="7"/>
      <c r="E466" s="7"/>
      <c r="F466" s="7"/>
      <c r="G466" s="7"/>
      <c r="H466" s="7"/>
      <c r="I466" s="7"/>
      <c r="J466" s="7"/>
      <c r="K466" s="7"/>
      <c r="L466" s="7"/>
      <c r="M466" s="7"/>
      <c r="N466" s="7"/>
      <c r="O466" s="7"/>
      <c r="P466" s="7"/>
      <c r="Q466" s="7"/>
      <c r="R466" s="7"/>
      <c r="S466" s="7"/>
      <c r="T466" s="7"/>
      <c r="U466" s="7"/>
      <c r="V466" s="7"/>
      <c r="W466" s="7"/>
      <c r="X466" s="7"/>
      <c r="Y466" s="7"/>
      <c r="Z466" s="7"/>
    </row>
    <row r="467">
      <c r="A467" s="77" t="s">
        <v>1791</v>
      </c>
      <c r="B467" s="7"/>
      <c r="C467" s="78" t="s">
        <v>1792</v>
      </c>
      <c r="D467" s="7"/>
      <c r="E467" s="7"/>
      <c r="F467" s="7"/>
      <c r="G467" s="7"/>
      <c r="H467" s="7"/>
      <c r="I467" s="7"/>
      <c r="J467" s="7"/>
      <c r="K467" s="7"/>
      <c r="L467" s="7"/>
      <c r="M467" s="7"/>
      <c r="N467" s="7"/>
      <c r="O467" s="7"/>
      <c r="P467" s="7"/>
      <c r="Q467" s="7"/>
      <c r="R467" s="7"/>
      <c r="S467" s="7"/>
      <c r="T467" s="7"/>
      <c r="U467" s="7"/>
      <c r="V467" s="7"/>
      <c r="W467" s="7"/>
      <c r="X467" s="7"/>
      <c r="Y467" s="7"/>
      <c r="Z467" s="7"/>
    </row>
    <row r="468">
      <c r="A468" s="77" t="s">
        <v>1793</v>
      </c>
      <c r="B468" s="7"/>
      <c r="C468" s="78" t="s">
        <v>1794</v>
      </c>
      <c r="D468" s="7"/>
      <c r="E468" s="7"/>
      <c r="F468" s="7"/>
      <c r="G468" s="7"/>
      <c r="H468" s="7"/>
      <c r="I468" s="7"/>
      <c r="J468" s="7"/>
      <c r="K468" s="7"/>
      <c r="L468" s="7"/>
      <c r="M468" s="7"/>
      <c r="N468" s="7"/>
      <c r="O468" s="7"/>
      <c r="P468" s="7"/>
      <c r="Q468" s="7"/>
      <c r="R468" s="7"/>
      <c r="S468" s="7"/>
      <c r="T468" s="7"/>
      <c r="U468" s="7"/>
      <c r="V468" s="7"/>
      <c r="W468" s="7"/>
      <c r="X468" s="7"/>
      <c r="Y468" s="7"/>
      <c r="Z468" s="7"/>
    </row>
    <row r="469">
      <c r="A469" s="77" t="s">
        <v>1795</v>
      </c>
      <c r="B469" s="7"/>
      <c r="C469" s="84" t="s">
        <v>1796</v>
      </c>
      <c r="D469" s="7"/>
      <c r="E469" s="7"/>
      <c r="F469" s="7"/>
      <c r="G469" s="7"/>
      <c r="H469" s="7"/>
      <c r="I469" s="7"/>
      <c r="J469" s="7"/>
      <c r="K469" s="7"/>
      <c r="L469" s="7"/>
      <c r="M469" s="7"/>
      <c r="N469" s="7"/>
      <c r="O469" s="7"/>
      <c r="P469" s="7"/>
      <c r="Q469" s="7"/>
      <c r="R469" s="7"/>
      <c r="S469" s="7"/>
      <c r="T469" s="7"/>
      <c r="U469" s="7"/>
      <c r="V469" s="7"/>
      <c r="W469" s="7"/>
      <c r="X469" s="7"/>
      <c r="Y469" s="7"/>
      <c r="Z469" s="7"/>
    </row>
    <row r="470">
      <c r="A470" s="77" t="s">
        <v>1797</v>
      </c>
      <c r="B470" s="7"/>
      <c r="C470" s="81" t="s">
        <v>1798</v>
      </c>
      <c r="D470" s="7"/>
      <c r="E470" s="7"/>
      <c r="F470" s="7"/>
      <c r="G470" s="7"/>
      <c r="H470" s="7"/>
      <c r="I470" s="7"/>
      <c r="J470" s="7"/>
      <c r="K470" s="7"/>
      <c r="L470" s="7"/>
      <c r="M470" s="7"/>
      <c r="N470" s="7"/>
      <c r="O470" s="7"/>
      <c r="P470" s="7"/>
      <c r="Q470" s="7"/>
      <c r="R470" s="7"/>
      <c r="S470" s="7"/>
      <c r="T470" s="7"/>
      <c r="U470" s="7"/>
      <c r="V470" s="7"/>
      <c r="W470" s="7"/>
      <c r="X470" s="7"/>
      <c r="Y470" s="7"/>
      <c r="Z470" s="7"/>
    </row>
    <row r="471">
      <c r="A471" s="77" t="s">
        <v>1799</v>
      </c>
      <c r="B471" s="7"/>
      <c r="C471" s="81" t="s">
        <v>1800</v>
      </c>
      <c r="D471" s="7"/>
      <c r="E471" s="7"/>
      <c r="F471" s="7"/>
      <c r="G471" s="7"/>
      <c r="H471" s="7"/>
      <c r="I471" s="7"/>
      <c r="J471" s="7"/>
      <c r="K471" s="7"/>
      <c r="L471" s="7"/>
      <c r="M471" s="7"/>
      <c r="N471" s="7"/>
      <c r="O471" s="7"/>
      <c r="P471" s="7"/>
      <c r="Q471" s="7"/>
      <c r="R471" s="7"/>
      <c r="S471" s="7"/>
      <c r="T471" s="7"/>
      <c r="U471" s="7"/>
      <c r="V471" s="7"/>
      <c r="W471" s="7"/>
      <c r="X471" s="7"/>
      <c r="Y471" s="7"/>
      <c r="Z471" s="7"/>
    </row>
    <row r="472">
      <c r="A472" s="77" t="s">
        <v>1801</v>
      </c>
      <c r="B472" s="7"/>
      <c r="C472" s="78" t="s">
        <v>1802</v>
      </c>
      <c r="D472" s="7"/>
      <c r="E472" s="7"/>
      <c r="F472" s="7"/>
      <c r="G472" s="7"/>
      <c r="H472" s="7"/>
      <c r="I472" s="7"/>
      <c r="J472" s="7"/>
      <c r="K472" s="7"/>
      <c r="L472" s="7"/>
      <c r="M472" s="7"/>
      <c r="N472" s="7"/>
      <c r="O472" s="7"/>
      <c r="P472" s="7"/>
      <c r="Q472" s="7"/>
      <c r="R472" s="7"/>
      <c r="S472" s="7"/>
      <c r="T472" s="7"/>
      <c r="U472" s="7"/>
      <c r="V472" s="7"/>
      <c r="W472" s="7"/>
      <c r="X472" s="7"/>
      <c r="Y472" s="7"/>
      <c r="Z472" s="7"/>
    </row>
    <row r="473">
      <c r="A473" s="77" t="s">
        <v>1803</v>
      </c>
      <c r="B473" s="7"/>
      <c r="C473" s="81" t="s">
        <v>1804</v>
      </c>
      <c r="D473" s="7"/>
      <c r="E473" s="7"/>
      <c r="F473" s="7"/>
      <c r="G473" s="7"/>
      <c r="H473" s="7"/>
      <c r="I473" s="7"/>
      <c r="J473" s="7"/>
      <c r="K473" s="7"/>
      <c r="L473" s="7"/>
      <c r="M473" s="7"/>
      <c r="N473" s="7"/>
      <c r="O473" s="7"/>
      <c r="P473" s="7"/>
      <c r="Q473" s="7"/>
      <c r="R473" s="7"/>
      <c r="S473" s="7"/>
      <c r="T473" s="7"/>
      <c r="U473" s="7"/>
      <c r="V473" s="7"/>
      <c r="W473" s="7"/>
      <c r="X473" s="7"/>
      <c r="Y473" s="7"/>
      <c r="Z473" s="7"/>
    </row>
    <row r="474">
      <c r="A474" s="77" t="s">
        <v>1805</v>
      </c>
      <c r="B474" s="7"/>
      <c r="C474" s="9" t="s">
        <v>1806</v>
      </c>
      <c r="D474" s="7"/>
      <c r="E474" s="7"/>
      <c r="F474" s="7"/>
      <c r="G474" s="7"/>
      <c r="H474" s="7"/>
      <c r="I474" s="7"/>
      <c r="J474" s="7"/>
      <c r="K474" s="7"/>
      <c r="L474" s="7"/>
      <c r="M474" s="7"/>
      <c r="N474" s="7"/>
      <c r="O474" s="7"/>
      <c r="P474" s="7"/>
      <c r="Q474" s="7"/>
      <c r="R474" s="7"/>
      <c r="S474" s="7"/>
      <c r="T474" s="7"/>
      <c r="U474" s="7"/>
      <c r="V474" s="7"/>
      <c r="W474" s="7"/>
      <c r="X474" s="7"/>
      <c r="Y474" s="7"/>
      <c r="Z474" s="7"/>
    </row>
    <row r="475">
      <c r="A475" s="77" t="s">
        <v>1807</v>
      </c>
      <c r="B475" s="7"/>
      <c r="C475" s="81" t="s">
        <v>1808</v>
      </c>
      <c r="D475" s="7"/>
      <c r="E475" s="7"/>
      <c r="F475" s="7"/>
      <c r="G475" s="7"/>
      <c r="H475" s="7"/>
      <c r="I475" s="7"/>
      <c r="J475" s="7"/>
      <c r="K475" s="7"/>
      <c r="L475" s="7"/>
      <c r="M475" s="7"/>
      <c r="N475" s="7"/>
      <c r="O475" s="7"/>
      <c r="P475" s="7"/>
      <c r="Q475" s="7"/>
      <c r="R475" s="7"/>
      <c r="S475" s="7"/>
      <c r="T475" s="7"/>
      <c r="U475" s="7"/>
      <c r="V475" s="7"/>
      <c r="W475" s="7"/>
      <c r="X475" s="7"/>
      <c r="Y475" s="7"/>
      <c r="Z475" s="7"/>
    </row>
    <row r="476">
      <c r="A476" s="77" t="s">
        <v>1809</v>
      </c>
      <c r="B476" s="7"/>
      <c r="C476" s="81" t="s">
        <v>1810</v>
      </c>
      <c r="D476" s="7"/>
      <c r="E476" s="7"/>
      <c r="F476" s="7"/>
      <c r="G476" s="7"/>
      <c r="H476" s="7"/>
      <c r="I476" s="7"/>
      <c r="J476" s="7"/>
      <c r="K476" s="7"/>
      <c r="L476" s="7"/>
      <c r="M476" s="7"/>
      <c r="N476" s="7"/>
      <c r="O476" s="7"/>
      <c r="P476" s="7"/>
      <c r="Q476" s="7"/>
      <c r="R476" s="7"/>
      <c r="S476" s="7"/>
      <c r="T476" s="7"/>
      <c r="U476" s="7"/>
      <c r="V476" s="7"/>
      <c r="W476" s="7"/>
      <c r="X476" s="7"/>
      <c r="Y476" s="7"/>
      <c r="Z476" s="7"/>
    </row>
    <row r="477">
      <c r="A477" s="77" t="s">
        <v>1811</v>
      </c>
      <c r="B477" s="7"/>
      <c r="C477" s="78" t="s">
        <v>1812</v>
      </c>
      <c r="D477" s="7"/>
      <c r="E477" s="7"/>
      <c r="F477" s="7"/>
      <c r="G477" s="7"/>
      <c r="H477" s="7"/>
      <c r="I477" s="7"/>
      <c r="J477" s="7"/>
      <c r="K477" s="7"/>
      <c r="L477" s="7"/>
      <c r="M477" s="7"/>
      <c r="N477" s="7"/>
      <c r="O477" s="7"/>
      <c r="P477" s="7"/>
      <c r="Q477" s="7"/>
      <c r="R477" s="7"/>
      <c r="S477" s="7"/>
      <c r="T477" s="7"/>
      <c r="U477" s="7"/>
      <c r="V477" s="7"/>
      <c r="W477" s="7"/>
      <c r="X477" s="7"/>
      <c r="Y477" s="7"/>
      <c r="Z477" s="7"/>
    </row>
    <row r="478">
      <c r="A478" s="17" t="s">
        <v>1813</v>
      </c>
      <c r="B478" s="7"/>
      <c r="C478" s="78" t="s">
        <v>1814</v>
      </c>
      <c r="D478" s="7"/>
      <c r="E478" s="7"/>
      <c r="F478" s="7"/>
      <c r="G478" s="7"/>
      <c r="H478" s="7"/>
      <c r="I478" s="7"/>
      <c r="J478" s="7"/>
      <c r="K478" s="7"/>
      <c r="L478" s="7"/>
      <c r="M478" s="7"/>
      <c r="N478" s="7"/>
      <c r="O478" s="7"/>
      <c r="P478" s="7"/>
      <c r="Q478" s="7"/>
      <c r="R478" s="7"/>
      <c r="S478" s="7"/>
      <c r="T478" s="7"/>
      <c r="U478" s="7"/>
      <c r="V478" s="7"/>
      <c r="W478" s="7"/>
      <c r="X478" s="7"/>
      <c r="Y478" s="7"/>
      <c r="Z478" s="7"/>
    </row>
    <row r="479">
      <c r="A479" s="77" t="s">
        <v>1815</v>
      </c>
      <c r="B479" s="7"/>
      <c r="C479" s="78" t="s">
        <v>1816</v>
      </c>
      <c r="D479" s="7"/>
      <c r="E479" s="7"/>
      <c r="F479" s="7"/>
      <c r="G479" s="7"/>
      <c r="H479" s="7"/>
      <c r="I479" s="7"/>
      <c r="J479" s="7"/>
      <c r="K479" s="7"/>
      <c r="L479" s="7"/>
      <c r="M479" s="7"/>
      <c r="N479" s="7"/>
      <c r="O479" s="7"/>
      <c r="P479" s="7"/>
      <c r="Q479" s="7"/>
      <c r="R479" s="7"/>
      <c r="S479" s="7"/>
      <c r="T479" s="7"/>
      <c r="U479" s="7"/>
      <c r="V479" s="7"/>
      <c r="W479" s="7"/>
      <c r="X479" s="7"/>
      <c r="Y479" s="7"/>
      <c r="Z479" s="7"/>
    </row>
    <row r="480">
      <c r="A480" s="77" t="s">
        <v>1817</v>
      </c>
      <c r="B480" s="7"/>
      <c r="C480" s="81" t="s">
        <v>1818</v>
      </c>
      <c r="D480" s="7"/>
      <c r="E480" s="7"/>
      <c r="F480" s="7"/>
      <c r="G480" s="7"/>
      <c r="H480" s="7"/>
      <c r="I480" s="7"/>
      <c r="J480" s="7"/>
      <c r="K480" s="7"/>
      <c r="L480" s="7"/>
      <c r="M480" s="7"/>
      <c r="N480" s="7"/>
      <c r="O480" s="7"/>
      <c r="P480" s="7"/>
      <c r="Q480" s="7"/>
      <c r="R480" s="7"/>
      <c r="S480" s="7"/>
      <c r="T480" s="7"/>
      <c r="U480" s="7"/>
      <c r="V480" s="7"/>
      <c r="W480" s="7"/>
      <c r="X480" s="7"/>
      <c r="Y480" s="7"/>
      <c r="Z480" s="7"/>
    </row>
    <row r="481">
      <c r="A481" s="77" t="s">
        <v>1819</v>
      </c>
      <c r="B481" s="7"/>
      <c r="C481" s="81" t="s">
        <v>10</v>
      </c>
      <c r="D481" s="7"/>
      <c r="E481" s="7"/>
      <c r="F481" s="7"/>
      <c r="G481" s="7"/>
      <c r="H481" s="7"/>
      <c r="I481" s="7"/>
      <c r="J481" s="7"/>
      <c r="K481" s="7"/>
      <c r="L481" s="7"/>
      <c r="M481" s="7"/>
      <c r="N481" s="7"/>
      <c r="O481" s="7"/>
      <c r="P481" s="7"/>
      <c r="Q481" s="7"/>
      <c r="R481" s="7"/>
      <c r="S481" s="7"/>
      <c r="T481" s="7"/>
      <c r="U481" s="7"/>
      <c r="V481" s="7"/>
      <c r="W481" s="7"/>
      <c r="X481" s="7"/>
      <c r="Y481" s="7"/>
      <c r="Z481" s="7"/>
    </row>
    <row r="482">
      <c r="A482" s="77" t="s">
        <v>1820</v>
      </c>
      <c r="B482" s="7"/>
      <c r="C482" s="81" t="s">
        <v>1821</v>
      </c>
      <c r="D482" s="7"/>
      <c r="E482" s="7"/>
      <c r="F482" s="7"/>
      <c r="G482" s="7"/>
      <c r="H482" s="7"/>
      <c r="I482" s="7"/>
      <c r="J482" s="7"/>
      <c r="K482" s="7"/>
      <c r="L482" s="7"/>
      <c r="M482" s="7"/>
      <c r="N482" s="7"/>
      <c r="O482" s="7"/>
      <c r="P482" s="7"/>
      <c r="Q482" s="7"/>
      <c r="R482" s="7"/>
      <c r="S482" s="7"/>
      <c r="T482" s="7"/>
      <c r="U482" s="7"/>
      <c r="V482" s="7"/>
      <c r="W482" s="7"/>
      <c r="X482" s="7"/>
      <c r="Y482" s="7"/>
      <c r="Z482" s="7"/>
    </row>
    <row r="483">
      <c r="A483" s="77" t="s">
        <v>1822</v>
      </c>
      <c r="B483" s="7"/>
      <c r="C483" s="81" t="s">
        <v>1823</v>
      </c>
      <c r="D483" s="7"/>
      <c r="E483" s="7"/>
      <c r="F483" s="7"/>
      <c r="G483" s="7"/>
      <c r="H483" s="7"/>
      <c r="I483" s="7"/>
      <c r="J483" s="7"/>
      <c r="K483" s="7"/>
      <c r="L483" s="7"/>
      <c r="M483" s="7"/>
      <c r="N483" s="7"/>
      <c r="O483" s="7"/>
      <c r="P483" s="7"/>
      <c r="Q483" s="7"/>
      <c r="R483" s="7"/>
      <c r="S483" s="7"/>
      <c r="T483" s="7"/>
      <c r="U483" s="7"/>
      <c r="V483" s="7"/>
      <c r="W483" s="7"/>
      <c r="X483" s="7"/>
      <c r="Y483" s="7"/>
      <c r="Z483" s="7"/>
    </row>
    <row r="484">
      <c r="A484" s="17"/>
      <c r="B484" s="7"/>
      <c r="C484" s="9" t="s">
        <v>1824</v>
      </c>
      <c r="D484" s="7"/>
      <c r="E484" s="7"/>
      <c r="F484" s="7"/>
      <c r="G484" s="7"/>
      <c r="H484" s="7"/>
      <c r="I484" s="7"/>
      <c r="J484" s="7"/>
      <c r="K484" s="7"/>
      <c r="L484" s="7"/>
      <c r="M484" s="7"/>
      <c r="N484" s="7"/>
      <c r="O484" s="7"/>
      <c r="P484" s="7"/>
      <c r="Q484" s="7"/>
      <c r="R484" s="7"/>
      <c r="S484" s="7"/>
      <c r="T484" s="7"/>
      <c r="U484" s="7"/>
      <c r="V484" s="7"/>
      <c r="W484" s="7"/>
      <c r="X484" s="7"/>
      <c r="Y484" s="7"/>
      <c r="Z484" s="7"/>
    </row>
    <row r="485">
      <c r="A485" s="17"/>
      <c r="B485" s="7"/>
      <c r="C485" s="17"/>
      <c r="D485" s="7"/>
      <c r="E485" s="7"/>
      <c r="F485" s="7"/>
      <c r="G485" s="7"/>
      <c r="H485" s="7"/>
      <c r="I485" s="7"/>
      <c r="J485" s="7"/>
      <c r="K485" s="7"/>
      <c r="L485" s="7"/>
      <c r="M485" s="7"/>
      <c r="N485" s="7"/>
      <c r="O485" s="7"/>
      <c r="P485" s="7"/>
      <c r="Q485" s="7"/>
      <c r="R485" s="7"/>
      <c r="S485" s="7"/>
      <c r="T485" s="7"/>
      <c r="U485" s="7"/>
      <c r="V485" s="7"/>
      <c r="W485" s="7"/>
      <c r="X485" s="7"/>
      <c r="Y485" s="7"/>
      <c r="Z485" s="7"/>
    </row>
    <row r="486">
      <c r="A486" s="9" t="s">
        <v>1825</v>
      </c>
      <c r="B486" s="9" t="s">
        <v>1549</v>
      </c>
      <c r="C486" s="13" t="s">
        <v>1826</v>
      </c>
      <c r="D486" s="7"/>
      <c r="E486" s="7"/>
      <c r="F486" s="7"/>
      <c r="G486" s="7"/>
      <c r="H486" s="7"/>
      <c r="I486" s="7"/>
      <c r="J486" s="7"/>
      <c r="K486" s="7"/>
      <c r="L486" s="7"/>
      <c r="M486" s="7"/>
      <c r="N486" s="7"/>
      <c r="O486" s="7"/>
      <c r="P486" s="7"/>
      <c r="Q486" s="7"/>
      <c r="R486" s="7"/>
      <c r="S486" s="7"/>
      <c r="T486" s="7"/>
      <c r="U486" s="7"/>
      <c r="V486" s="7"/>
      <c r="W486" s="7"/>
      <c r="X486" s="7"/>
      <c r="Y486" s="7"/>
      <c r="Z486" s="7"/>
    </row>
    <row r="487">
      <c r="A487" s="17"/>
      <c r="B487" s="1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7" t="s">
        <v>1827</v>
      </c>
      <c r="B488" s="7"/>
      <c r="C488" s="81" t="s">
        <v>1828</v>
      </c>
      <c r="D488" s="7"/>
      <c r="E488" s="7"/>
      <c r="F488" s="7"/>
      <c r="G488" s="7"/>
      <c r="H488" s="7"/>
      <c r="I488" s="7"/>
      <c r="J488" s="7"/>
      <c r="K488" s="7"/>
      <c r="L488" s="7"/>
      <c r="M488" s="7"/>
      <c r="N488" s="7"/>
      <c r="O488" s="7"/>
      <c r="P488" s="7"/>
      <c r="Q488" s="7"/>
      <c r="R488" s="7"/>
      <c r="S488" s="7"/>
      <c r="T488" s="7"/>
      <c r="U488" s="7"/>
      <c r="V488" s="7"/>
      <c r="W488" s="7"/>
      <c r="X488" s="7"/>
      <c r="Y488" s="7"/>
      <c r="Z488" s="7"/>
    </row>
    <row r="489">
      <c r="A489" s="77" t="s">
        <v>1829</v>
      </c>
      <c r="B489" s="17"/>
      <c r="C489" s="81" t="s">
        <v>1830</v>
      </c>
      <c r="D489" s="7"/>
      <c r="E489" s="7"/>
      <c r="F489" s="7"/>
      <c r="G489" s="7"/>
      <c r="H489" s="7"/>
      <c r="I489" s="7"/>
      <c r="J489" s="7"/>
      <c r="K489" s="7"/>
      <c r="L489" s="7"/>
      <c r="M489" s="7"/>
      <c r="N489" s="7"/>
      <c r="O489" s="7"/>
      <c r="P489" s="7"/>
      <c r="Q489" s="7"/>
      <c r="R489" s="7"/>
      <c r="S489" s="7"/>
      <c r="T489" s="7"/>
      <c r="U489" s="7"/>
      <c r="V489" s="7"/>
      <c r="W489" s="7"/>
      <c r="X489" s="7"/>
      <c r="Y489" s="7"/>
      <c r="Z489" s="7"/>
    </row>
    <row r="490">
      <c r="A490" s="77" t="s">
        <v>1831</v>
      </c>
      <c r="B490" s="7"/>
      <c r="C490" s="9" t="s">
        <v>1832</v>
      </c>
      <c r="D490" s="7"/>
      <c r="E490" s="7"/>
      <c r="F490" s="7"/>
      <c r="G490" s="7"/>
      <c r="H490" s="7"/>
      <c r="I490" s="7"/>
      <c r="J490" s="7"/>
      <c r="K490" s="7"/>
      <c r="L490" s="7"/>
      <c r="M490" s="7"/>
      <c r="N490" s="7"/>
      <c r="O490" s="7"/>
      <c r="P490" s="7"/>
      <c r="Q490" s="7"/>
      <c r="R490" s="7"/>
      <c r="S490" s="7"/>
      <c r="T490" s="7"/>
      <c r="U490" s="7"/>
      <c r="V490" s="7"/>
      <c r="W490" s="7"/>
      <c r="X490" s="7"/>
      <c r="Y490" s="7"/>
      <c r="Z490" s="7"/>
    </row>
    <row r="491">
      <c r="A491" s="77" t="s">
        <v>1833</v>
      </c>
      <c r="B491" s="7"/>
      <c r="C491" s="81" t="s">
        <v>1834</v>
      </c>
      <c r="D491" s="7"/>
      <c r="E491" s="7"/>
      <c r="F491" s="7"/>
      <c r="G491" s="7"/>
      <c r="H491" s="7"/>
      <c r="I491" s="7"/>
      <c r="J491" s="7"/>
      <c r="K491" s="7"/>
      <c r="L491" s="7"/>
      <c r="M491" s="7"/>
      <c r="N491" s="7"/>
      <c r="O491" s="7"/>
      <c r="P491" s="7"/>
      <c r="Q491" s="7"/>
      <c r="R491" s="7"/>
      <c r="S491" s="7"/>
      <c r="T491" s="7"/>
      <c r="U491" s="7"/>
      <c r="V491" s="7"/>
      <c r="W491" s="7"/>
      <c r="X491" s="7"/>
      <c r="Y491" s="7"/>
      <c r="Z491" s="7"/>
    </row>
    <row r="492">
      <c r="A492" s="17"/>
      <c r="B492" s="7"/>
      <c r="C492" s="17"/>
      <c r="D492" s="7"/>
      <c r="E492" s="7"/>
      <c r="F492" s="7"/>
      <c r="G492" s="7"/>
      <c r="H492" s="7"/>
      <c r="I492" s="7"/>
      <c r="J492" s="7"/>
      <c r="K492" s="7"/>
      <c r="L492" s="7"/>
      <c r="M492" s="7"/>
      <c r="N492" s="7"/>
      <c r="O492" s="7"/>
      <c r="P492" s="7"/>
      <c r="Q492" s="7"/>
      <c r="R492" s="7"/>
      <c r="S492" s="7"/>
      <c r="T492" s="7"/>
      <c r="U492" s="7"/>
      <c r="V492" s="7"/>
      <c r="W492" s="7"/>
      <c r="X492" s="7"/>
      <c r="Y492" s="7"/>
      <c r="Z492" s="7"/>
    </row>
    <row r="493">
      <c r="A493" s="17" t="s">
        <v>1835</v>
      </c>
      <c r="B493" s="7"/>
      <c r="C493" s="78" t="s">
        <v>1836</v>
      </c>
      <c r="D493" s="7"/>
      <c r="E493" s="7"/>
      <c r="F493" s="7"/>
      <c r="G493" s="7"/>
      <c r="H493" s="7"/>
      <c r="I493" s="7"/>
      <c r="J493" s="7"/>
      <c r="K493" s="7"/>
      <c r="L493" s="7"/>
      <c r="M493" s="7"/>
      <c r="N493" s="7"/>
      <c r="O493" s="7"/>
      <c r="P493" s="7"/>
      <c r="Q493" s="7"/>
      <c r="R493" s="7"/>
      <c r="S493" s="7"/>
      <c r="T493" s="7"/>
      <c r="U493" s="7"/>
      <c r="V493" s="7"/>
      <c r="W493" s="7"/>
      <c r="X493" s="7"/>
      <c r="Y493" s="7"/>
      <c r="Z493" s="7"/>
    </row>
    <row r="494">
      <c r="A494" s="1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1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1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1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1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1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1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1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1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1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1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1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1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1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1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1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9" t="s">
        <v>1837</v>
      </c>
      <c r="B510" s="9" t="s">
        <v>202</v>
      </c>
      <c r="C510" s="9" t="s">
        <v>1838</v>
      </c>
      <c r="D510" s="7"/>
      <c r="E510" s="7"/>
      <c r="F510" s="7"/>
      <c r="G510" s="7"/>
      <c r="H510" s="7"/>
      <c r="I510" s="7"/>
      <c r="J510" s="7"/>
      <c r="K510" s="7"/>
      <c r="L510" s="7"/>
      <c r="M510" s="7"/>
      <c r="N510" s="7"/>
      <c r="O510" s="7"/>
      <c r="P510" s="7"/>
      <c r="Q510" s="7"/>
      <c r="R510" s="7"/>
      <c r="S510" s="7"/>
      <c r="T510" s="7"/>
      <c r="U510" s="7"/>
      <c r="V510" s="7"/>
      <c r="W510" s="7"/>
      <c r="X510" s="7"/>
      <c r="Y510" s="7"/>
      <c r="Z510" s="7"/>
    </row>
    <row r="511">
      <c r="A511" s="9" t="s">
        <v>215</v>
      </c>
      <c r="B511" s="9" t="s">
        <v>221</v>
      </c>
      <c r="C511" s="9" t="s">
        <v>222</v>
      </c>
      <c r="D511" s="7"/>
      <c r="E511" s="7"/>
      <c r="F511" s="7"/>
      <c r="G511" s="7"/>
      <c r="H511" s="7"/>
      <c r="I511" s="7"/>
      <c r="J511" s="7"/>
      <c r="K511" s="7"/>
      <c r="L511" s="7"/>
      <c r="M511" s="7"/>
      <c r="N511" s="7"/>
      <c r="O511" s="7"/>
      <c r="P511" s="7"/>
      <c r="Q511" s="7"/>
      <c r="R511" s="7"/>
      <c r="S511" s="7"/>
      <c r="T511" s="7"/>
      <c r="U511" s="7"/>
      <c r="V511" s="7"/>
      <c r="W511" s="7"/>
      <c r="X511" s="7"/>
      <c r="Y511" s="7"/>
      <c r="Z511" s="7"/>
    </row>
    <row r="512">
      <c r="A512" s="9" t="s">
        <v>235</v>
      </c>
      <c r="B512" s="13" t="s">
        <v>236</v>
      </c>
      <c r="C512" s="13" t="s">
        <v>237</v>
      </c>
      <c r="D512" s="7"/>
      <c r="E512" s="7"/>
      <c r="F512" s="7"/>
      <c r="G512" s="7"/>
      <c r="H512" s="7"/>
      <c r="I512" s="7"/>
      <c r="J512" s="7"/>
      <c r="K512" s="7"/>
      <c r="L512" s="7"/>
      <c r="M512" s="7"/>
      <c r="N512" s="7"/>
      <c r="O512" s="7"/>
      <c r="P512" s="7"/>
      <c r="Q512" s="7"/>
      <c r="R512" s="7"/>
      <c r="S512" s="7"/>
      <c r="T512" s="7"/>
      <c r="U512" s="7"/>
      <c r="V512" s="7"/>
      <c r="W512" s="7"/>
      <c r="X512" s="7"/>
      <c r="Y512" s="7"/>
      <c r="Z512" s="7"/>
    </row>
    <row r="513">
      <c r="A513" s="1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1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17"/>
      <c r="B515" s="7" t="s">
        <v>1048</v>
      </c>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17"/>
      <c r="B516" s="7" t="s">
        <v>1061</v>
      </c>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17"/>
      <c r="B517" s="7" t="s">
        <v>1065</v>
      </c>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17"/>
      <c r="B518" s="7" t="s">
        <v>1023</v>
      </c>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17"/>
      <c r="B519" s="33" t="s">
        <v>1030</v>
      </c>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17"/>
      <c r="B520" s="7" t="s">
        <v>1046</v>
      </c>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17"/>
      <c r="B521" s="7" t="s">
        <v>310</v>
      </c>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17"/>
      <c r="B522" s="7" t="s">
        <v>364</v>
      </c>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17"/>
      <c r="B523" s="7" t="s">
        <v>373</v>
      </c>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17"/>
      <c r="B524" s="7" t="s">
        <v>380</v>
      </c>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17"/>
      <c r="B525" s="7" t="s">
        <v>269</v>
      </c>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17"/>
      <c r="B526" s="7" t="s">
        <v>1158</v>
      </c>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17"/>
      <c r="B527" s="7" t="s">
        <v>1160</v>
      </c>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17"/>
      <c r="B528" s="7" t="s">
        <v>1161</v>
      </c>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17"/>
      <c r="B529" s="7" t="s">
        <v>1165</v>
      </c>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17"/>
      <c r="B530" s="7" t="s">
        <v>1187</v>
      </c>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17"/>
      <c r="B531" s="7" t="s">
        <v>1168</v>
      </c>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17"/>
      <c r="B532" s="7" t="s">
        <v>1175</v>
      </c>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17"/>
      <c r="B533" s="7" t="s">
        <v>1839</v>
      </c>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17"/>
      <c r="B534" s="7" t="s">
        <v>1336</v>
      </c>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17"/>
      <c r="B535" s="7" t="s">
        <v>984</v>
      </c>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17"/>
      <c r="B536" s="7" t="s">
        <v>472</v>
      </c>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17"/>
      <c r="B537" s="7" t="s">
        <v>990</v>
      </c>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17"/>
      <c r="B538" s="7" t="s">
        <v>997</v>
      </c>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17"/>
      <c r="B539" s="7" t="s">
        <v>1007</v>
      </c>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17"/>
      <c r="B540" s="7" t="s">
        <v>1015</v>
      </c>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17"/>
      <c r="B541" s="7" t="s">
        <v>956</v>
      </c>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17"/>
      <c r="B542" s="7" t="s">
        <v>1840</v>
      </c>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17"/>
      <c r="B543" s="7" t="s">
        <v>1841</v>
      </c>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17"/>
      <c r="B544" s="7" t="s">
        <v>1842</v>
      </c>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17"/>
      <c r="B545" s="7" t="s">
        <v>211</v>
      </c>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17"/>
      <c r="B546" s="7" t="s">
        <v>516</v>
      </c>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17"/>
      <c r="B547" s="7" t="s">
        <v>1843</v>
      </c>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17"/>
      <c r="B548" s="7" t="s">
        <v>1844</v>
      </c>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17"/>
      <c r="B549" s="7" t="s">
        <v>1845</v>
      </c>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17"/>
      <c r="B550" s="7" t="s">
        <v>1846</v>
      </c>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17"/>
      <c r="B551" s="7" t="s">
        <v>1847</v>
      </c>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17"/>
      <c r="B552" s="7" t="s">
        <v>1848</v>
      </c>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17"/>
      <c r="B553" s="7" t="s">
        <v>1849</v>
      </c>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17"/>
      <c r="B554" s="7" t="s">
        <v>1850</v>
      </c>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17"/>
      <c r="B555" s="7" t="s">
        <v>1851</v>
      </c>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17"/>
      <c r="B556" s="7" t="s">
        <v>1852</v>
      </c>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17"/>
      <c r="B557" s="7" t="s">
        <v>776</v>
      </c>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17"/>
      <c r="B558" s="7" t="s">
        <v>1853</v>
      </c>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17"/>
      <c r="B559" s="7" t="s">
        <v>1854</v>
      </c>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17"/>
      <c r="B560" s="7" t="s">
        <v>1855</v>
      </c>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17"/>
      <c r="B561" s="7" t="s">
        <v>966</v>
      </c>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17"/>
      <c r="B562" s="7" t="s">
        <v>188</v>
      </c>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17"/>
      <c r="B563" s="7" t="s">
        <v>1856</v>
      </c>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17"/>
      <c r="B564" s="7" t="s">
        <v>1857</v>
      </c>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17"/>
      <c r="B565" s="7" t="s">
        <v>1858</v>
      </c>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17"/>
      <c r="B566" s="7" t="s">
        <v>668</v>
      </c>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17"/>
      <c r="B567" s="7" t="s">
        <v>682</v>
      </c>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17"/>
      <c r="B568" s="7" t="s">
        <v>660</v>
      </c>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17"/>
      <c r="B569" s="7" t="s">
        <v>690</v>
      </c>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17"/>
      <c r="B570" s="7" t="s">
        <v>544</v>
      </c>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17"/>
      <c r="B571" s="7" t="s">
        <v>58</v>
      </c>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17"/>
      <c r="B572" s="7" t="s">
        <v>1859</v>
      </c>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17"/>
      <c r="B573" s="7" t="s">
        <v>65</v>
      </c>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17"/>
      <c r="B574" s="7" t="s">
        <v>49</v>
      </c>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17"/>
      <c r="B575" s="7" t="s">
        <v>617</v>
      </c>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17"/>
      <c r="B576" s="7" t="s">
        <v>742</v>
      </c>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17"/>
      <c r="B577" s="7" t="s">
        <v>1860</v>
      </c>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17"/>
      <c r="B578" s="7" t="s">
        <v>167</v>
      </c>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17"/>
      <c r="B579" s="7" t="s">
        <v>173</v>
      </c>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17"/>
      <c r="B580" s="7" t="s">
        <v>1861</v>
      </c>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17"/>
      <c r="B581" s="7" t="s">
        <v>1806</v>
      </c>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17"/>
      <c r="B582" s="7" t="s">
        <v>1862</v>
      </c>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17"/>
      <c r="B583" s="7" t="s">
        <v>716</v>
      </c>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17"/>
      <c r="B584" s="7" t="s">
        <v>79</v>
      </c>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17"/>
      <c r="B585" s="7" t="s">
        <v>1863</v>
      </c>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17"/>
      <c r="B586" s="7" t="s">
        <v>566</v>
      </c>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17"/>
      <c r="B587" s="7" t="s">
        <v>482</v>
      </c>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17"/>
      <c r="B588" s="7" t="s">
        <v>1864</v>
      </c>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17"/>
      <c r="B589" s="7" t="s">
        <v>305</v>
      </c>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17"/>
      <c r="B590" s="7" t="s">
        <v>1082</v>
      </c>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17"/>
      <c r="B591" s="7" t="s">
        <v>282</v>
      </c>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17"/>
      <c r="B592" s="7" t="s">
        <v>357</v>
      </c>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17"/>
      <c r="B593" s="7" t="s">
        <v>293</v>
      </c>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17"/>
      <c r="B594" s="7" t="s">
        <v>330</v>
      </c>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1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1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1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1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1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1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1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1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1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1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1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1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1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1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1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1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1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1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1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1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1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1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1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1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1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1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1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1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1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1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1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1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1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1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1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1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1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1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1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1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1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1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1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1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1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1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1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1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1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1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1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1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1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1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1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1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1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1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1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1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1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1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1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1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1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1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1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1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1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1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1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1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1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1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1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1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1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1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1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1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1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1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1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1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1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1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1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1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1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1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1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1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1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1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1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1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1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1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1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1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1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1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1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1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1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1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1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1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1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1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1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1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1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1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1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1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1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1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1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1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1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1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1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1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1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1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1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1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1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1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1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1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1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1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1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1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1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1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1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1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1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1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1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1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1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1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1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1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1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1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1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1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1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1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1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1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1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1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1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1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1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1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1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1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1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1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1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1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1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1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1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1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1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1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1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1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1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1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1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1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1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1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1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1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1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1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1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1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1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1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1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1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1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1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1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1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1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1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1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1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1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1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1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1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1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1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1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1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1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1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1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1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1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1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1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1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1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1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1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1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1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1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1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1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1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1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1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1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1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1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1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1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1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1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1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1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1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1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1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1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1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1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1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1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1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1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1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1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1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1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1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1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1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1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1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1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1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1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1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1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1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1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1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1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1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1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1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1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1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1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1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1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1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1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1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1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1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1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1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1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1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1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1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1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1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1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1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1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1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1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1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1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1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1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1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1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1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1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1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1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1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1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1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1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1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1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1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1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1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1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1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1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1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1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1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1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1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1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1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1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1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1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1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1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1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1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1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1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1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1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1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1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1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1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1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1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1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1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1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1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1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1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1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1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1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1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1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1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1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1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1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1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1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1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1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1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1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1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1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1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1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1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50"/>
    <hyperlink r:id="rId49" ref="F51"/>
    <hyperlink r:id="rId50" ref="F52"/>
    <hyperlink r:id="rId51" ref="F54"/>
    <hyperlink r:id="rId52" ref="F55"/>
    <hyperlink r:id="rId53" ref="F56"/>
    <hyperlink r:id="rId54" ref="F57"/>
    <hyperlink r:id="rId55" ref="F58"/>
    <hyperlink r:id="rId56" ref="F59"/>
    <hyperlink r:id="rId57" ref="F60"/>
    <hyperlink r:id="rId58" ref="F62"/>
    <hyperlink r:id="rId59" ref="F63"/>
    <hyperlink r:id="rId60" ref="F64"/>
    <hyperlink r:id="rId61" ref="F65"/>
    <hyperlink r:id="rId62" ref="F66"/>
    <hyperlink r:id="rId63" ref="F67"/>
    <hyperlink r:id="rId64" ref="F68"/>
    <hyperlink r:id="rId65" ref="F69"/>
    <hyperlink r:id="rId66" ref="F81"/>
    <hyperlink r:id="rId67" ref="F83"/>
    <hyperlink r:id="rId68" ref="F84"/>
    <hyperlink r:id="rId69" ref="F88"/>
    <hyperlink r:id="rId70" ref="F89"/>
    <hyperlink r:id="rId71" ref="F90"/>
    <hyperlink r:id="rId72" ref="F91"/>
    <hyperlink r:id="rId73" ref="F93"/>
    <hyperlink r:id="rId74" ref="F95"/>
    <hyperlink r:id="rId75" ref="F96"/>
    <hyperlink r:id="rId76" ref="F98"/>
    <hyperlink r:id="rId77" ref="F99"/>
    <hyperlink r:id="rId78" ref="F100"/>
    <hyperlink r:id="rId79" ref="F101"/>
    <hyperlink r:id="rId80" ref="F102"/>
    <hyperlink r:id="rId81" ref="F103"/>
    <hyperlink r:id="rId82" ref="F104"/>
    <hyperlink r:id="rId83" ref="F106"/>
    <hyperlink r:id="rId84" ref="F107"/>
    <hyperlink r:id="rId85" ref="F108"/>
    <hyperlink r:id="rId86" ref="F109"/>
    <hyperlink r:id="rId87" ref="F111"/>
    <hyperlink r:id="rId88" ref="F113"/>
    <hyperlink r:id="rId89" ref="F116"/>
    <hyperlink r:id="rId90" ref="F119"/>
    <hyperlink r:id="rId91" ref="F121"/>
    <hyperlink r:id="rId92" ref="F123"/>
    <hyperlink r:id="rId93" ref="F125"/>
    <hyperlink r:id="rId94" ref="F127"/>
    <hyperlink r:id="rId95" ref="F129"/>
    <hyperlink r:id="rId96" ref="F130"/>
    <hyperlink r:id="rId97" ref="F131"/>
    <hyperlink r:id="rId98" ref="F133"/>
    <hyperlink r:id="rId99" ref="F134"/>
    <hyperlink r:id="rId100" ref="B135"/>
    <hyperlink r:id="rId101" ref="F136"/>
    <hyperlink r:id="rId102" ref="F138"/>
    <hyperlink r:id="rId103" ref="F139"/>
    <hyperlink r:id="rId104" ref="F141"/>
    <hyperlink r:id="rId105" ref="F142"/>
    <hyperlink r:id="rId106" ref="F147"/>
    <hyperlink r:id="rId107" ref="F148"/>
    <hyperlink r:id="rId108" ref="F149"/>
    <hyperlink r:id="rId109" ref="F150"/>
    <hyperlink r:id="rId110" ref="F158"/>
    <hyperlink r:id="rId111" ref="F159"/>
    <hyperlink r:id="rId112" ref="F160"/>
    <hyperlink r:id="rId113" ref="F161"/>
    <hyperlink r:id="rId114" ref="F163"/>
    <hyperlink r:id="rId115" ref="F165"/>
    <hyperlink r:id="rId116" ref="F168"/>
    <hyperlink r:id="rId117" ref="F169"/>
    <hyperlink r:id="rId118" ref="F170"/>
    <hyperlink r:id="rId119" ref="F172"/>
    <hyperlink r:id="rId120" ref="F173"/>
    <hyperlink r:id="rId121" ref="F175"/>
    <hyperlink r:id="rId122" ref="F178"/>
    <hyperlink r:id="rId123" ref="F179"/>
    <hyperlink r:id="rId124" ref="F181"/>
    <hyperlink r:id="rId125" ref="F182"/>
    <hyperlink r:id="rId126" ref="F183"/>
    <hyperlink r:id="rId127" ref="A400"/>
    <hyperlink r:id="rId128" ref="A402"/>
    <hyperlink r:id="rId129" ref="A403"/>
    <hyperlink r:id="rId130" ref="A404"/>
    <hyperlink r:id="rId131" ref="A405"/>
    <hyperlink r:id="rId132" ref="A406"/>
    <hyperlink r:id="rId133" ref="A407"/>
    <hyperlink r:id="rId134" ref="A408"/>
    <hyperlink r:id="rId135" ref="A410"/>
    <hyperlink r:id="rId136" ref="A411"/>
    <hyperlink r:id="rId137" ref="A412"/>
    <hyperlink r:id="rId138" ref="A413"/>
    <hyperlink r:id="rId139" ref="A415"/>
    <hyperlink r:id="rId140" ref="A418"/>
    <hyperlink r:id="rId141" ref="A435"/>
    <hyperlink r:id="rId142" ref="A443"/>
    <hyperlink r:id="rId143" ref="A445"/>
    <hyperlink r:id="rId144" ref="A446"/>
    <hyperlink r:id="rId145" ref="A447"/>
    <hyperlink r:id="rId146" ref="A448"/>
    <hyperlink r:id="rId147" ref="A450"/>
    <hyperlink r:id="rId148" ref="A455"/>
    <hyperlink r:id="rId149" ref="A456"/>
    <hyperlink r:id="rId150" ref="A457"/>
    <hyperlink r:id="rId151" ref="A458"/>
    <hyperlink r:id="rId152" ref="A459"/>
    <hyperlink r:id="rId153" ref="A460"/>
    <hyperlink r:id="rId154" ref="A461"/>
    <hyperlink r:id="rId155" ref="A462"/>
    <hyperlink r:id="rId156" ref="A463"/>
    <hyperlink r:id="rId157" ref="C463"/>
    <hyperlink r:id="rId158" ref="A464"/>
    <hyperlink r:id="rId159" ref="A465"/>
    <hyperlink r:id="rId160" ref="A466"/>
    <hyperlink r:id="rId161" ref="A467"/>
    <hyperlink r:id="rId162" ref="A468"/>
    <hyperlink r:id="rId163" ref="A469"/>
    <hyperlink r:id="rId164" ref="A470"/>
    <hyperlink r:id="rId165" ref="A471"/>
    <hyperlink r:id="rId166" ref="A472"/>
    <hyperlink r:id="rId167" ref="A473"/>
    <hyperlink r:id="rId168" ref="A474"/>
    <hyperlink r:id="rId169" ref="A475"/>
    <hyperlink r:id="rId170" ref="A476"/>
    <hyperlink r:id="rId171" ref="A477"/>
    <hyperlink r:id="rId172" ref="A479"/>
    <hyperlink r:id="rId173" ref="A480"/>
    <hyperlink r:id="rId174" ref="A481"/>
    <hyperlink r:id="rId175" ref="A482"/>
    <hyperlink r:id="rId176" ref="A483"/>
    <hyperlink r:id="rId177" ref="A488"/>
    <hyperlink r:id="rId178" ref="A489"/>
    <hyperlink r:id="rId179" ref="A490"/>
    <hyperlink r:id="rId180" ref="A491"/>
    <hyperlink r:id="rId181" ref="B519"/>
  </hyperlinks>
  <drawing r:id="rId182"/>
</worksheet>
</file>